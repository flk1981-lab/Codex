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逐例数据录入" sheetId="1" r:id="rId1"/>
    <sheet name="变量字典" sheetId="3" r:id="rId2"/>
    <sheet name="摘要自动汇总" sheetId="2" r:id="rId3"/>
    <sheet name="使用说明" sheetId="4" r:id="rId4"/>
  </sheets>
  <definedNames>
    <definedName name="_xlnm._FilterDatabase" localSheetId="0" hidden="1">逐例数据录入!$A$1:$AW$715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<sst xmlns="http://schemas.openxmlformats.org/spreadsheetml/2006/main" count="10008" uniqueCount="1321">
  <si>
    <t>中心</t>
  </si>
  <si>
    <t>受试者ID</t>
  </si>
  <si>
    <t>年龄（岁）</t>
  </si>
  <si>
    <t>性别</t>
  </si>
  <si>
    <t>国家/地区</t>
  </si>
  <si>
    <t>研究组/方案（Arm）</t>
  </si>
  <si>
    <t>随机日期</t>
  </si>
  <si>
    <t>治疗开始日期</t>
  </si>
  <si>
    <t>治疗结束日期</t>
  </si>
  <si>
    <t>疗程天数（自动）</t>
  </si>
  <si>
    <t>分析集（ITT/mITT/PP）</t>
  </si>
  <si>
    <t>耐药类型</t>
  </si>
  <si>
    <t>结核部位</t>
  </si>
  <si>
    <t>微生物学确诊</t>
  </si>
  <si>
    <t>基线培养</t>
  </si>
  <si>
    <t>体重（kg）</t>
  </si>
  <si>
    <t>身高（cm）</t>
  </si>
  <si>
    <t>BMI（自动）</t>
  </si>
  <si>
    <t>HIV状态</t>
  </si>
  <si>
    <t>糖尿病（DM）</t>
  </si>
  <si>
    <t>空洞</t>
  </si>
  <si>
    <t>Week 8培养</t>
  </si>
  <si>
    <t>治疗2个月培养</t>
  </si>
  <si>
    <t>停药时培养</t>
  </si>
  <si>
    <t>停药后6月培养</t>
  </si>
  <si>
    <t>停药后12月培养</t>
  </si>
  <si>
    <t>停药时，是否不良结局（Unfavorable）</t>
  </si>
  <si>
    <t>停药时，不良结局构成</t>
  </si>
  <si>
    <t>停药后半年，是否不良结局（Unfavorable）</t>
  </si>
  <si>
    <t>停药后半年，不良结局构成</t>
  </si>
  <si>
    <t>停药后1年，是否不良结局（Unfavorable）</t>
  </si>
  <si>
    <t>停药后1年，不良结局构成</t>
  </si>
  <si>
    <t>最终治疗结局</t>
  </si>
  <si>
    <t>12月复发</t>
  </si>
  <si>
    <t>≥3级不良事件（任意）</t>
  </si>
  <si>
    <t>严重不良事件（SAE，任意）</t>
  </si>
  <si>
    <t>因AE停药/永久停药</t>
  </si>
  <si>
    <t>死亡（任意）</t>
  </si>
  <si>
    <t>备注</t>
  </si>
  <si>
    <t>QTcF最大值（ms，可选）</t>
  </si>
  <si>
    <t>QTcF≥500（可选）</t>
  </si>
  <si>
    <t>ALT最大（U/L，可选）</t>
  </si>
  <si>
    <t>周围神经病变最高分级（可选）</t>
  </si>
  <si>
    <t>Hb最低（g/L，可选）</t>
  </si>
  <si>
    <t>PLT最低（10^9/L，可选）</t>
  </si>
  <si>
    <t>ANC最低（10^9/L，可选）</t>
  </si>
  <si>
    <t>深圳三院</t>
  </si>
  <si>
    <t>周宗涛</t>
  </si>
  <si>
    <t>男</t>
  </si>
  <si>
    <t>A</t>
  </si>
  <si>
    <t>阳性</t>
  </si>
  <si>
    <t>阴性</t>
  </si>
  <si>
    <t>否</t>
  </si>
  <si>
    <t>刘姗姗</t>
  </si>
  <si>
    <t>女</t>
  </si>
  <si>
    <t>刘旋辉</t>
  </si>
  <si>
    <t>E</t>
  </si>
  <si>
    <t>未随机</t>
  </si>
  <si>
    <t>潘朝向</t>
  </si>
  <si>
    <t>治疗5.5月后失访</t>
  </si>
  <si>
    <t>甄娟</t>
  </si>
  <si>
    <t>张干聪</t>
  </si>
  <si>
    <t>停药3个月后失访</t>
  </si>
  <si>
    <t>杨新芝</t>
  </si>
  <si>
    <t>C</t>
  </si>
  <si>
    <t>蔡灶伟</t>
  </si>
  <si>
    <t>谢丽珍</t>
  </si>
  <si>
    <t>李嘉妮</t>
  </si>
  <si>
    <t>A-E</t>
  </si>
  <si>
    <t>停药8个月后失访</t>
  </si>
  <si>
    <t>吴钢明</t>
  </si>
  <si>
    <t>傅源淡</t>
  </si>
  <si>
    <t>停药后失访</t>
  </si>
  <si>
    <t>覃云</t>
  </si>
  <si>
    <t>史红霞</t>
  </si>
  <si>
    <t>停药7个月后失访</t>
  </si>
  <si>
    <t>李金宝</t>
  </si>
  <si>
    <t>王国平</t>
  </si>
  <si>
    <t>D</t>
  </si>
  <si>
    <t>治疗17月后失访</t>
  </si>
  <si>
    <t>王燕南</t>
  </si>
  <si>
    <t>周红</t>
  </si>
  <si>
    <t>B</t>
  </si>
  <si>
    <t>治疗6月后失访</t>
  </si>
  <si>
    <t>宁国春</t>
  </si>
  <si>
    <t>黄伟</t>
  </si>
  <si>
    <t>倪浩哲</t>
  </si>
  <si>
    <t>停药5个月后失访</t>
  </si>
  <si>
    <t>曹茂全</t>
  </si>
  <si>
    <t>黄嘉怡</t>
  </si>
  <si>
    <t>刘凌志</t>
  </si>
  <si>
    <t>廖思莹</t>
  </si>
  <si>
    <t>滕树海</t>
  </si>
  <si>
    <t>张琼珠</t>
  </si>
  <si>
    <t>罗对女</t>
  </si>
  <si>
    <t>邹宏伟</t>
  </si>
  <si>
    <t>出院后失访</t>
  </si>
  <si>
    <t>陈沛月</t>
  </si>
  <si>
    <t>陈少腾</t>
  </si>
  <si>
    <t>黄小玲</t>
  </si>
  <si>
    <t>张廷芳</t>
  </si>
  <si>
    <t>停药1月余后失访</t>
  </si>
  <si>
    <t>黄尚娟</t>
  </si>
  <si>
    <t>刘仕均</t>
  </si>
  <si>
    <t>治疗7月后未有记录</t>
  </si>
  <si>
    <t>郑辉强</t>
  </si>
  <si>
    <t>彭会银</t>
  </si>
  <si>
    <t>谭兴海</t>
  </si>
  <si>
    <t>是</t>
  </si>
  <si>
    <t>其他（利福平耐药）</t>
  </si>
  <si>
    <t>停药3月后失访</t>
  </si>
  <si>
    <t>程涛</t>
  </si>
  <si>
    <t>林国斌</t>
  </si>
  <si>
    <t>陈友</t>
  </si>
  <si>
    <t>停药半年后失访</t>
  </si>
  <si>
    <t>蒋永丽</t>
  </si>
  <si>
    <t>李少珠</t>
  </si>
  <si>
    <t>其他（少量咳嗽、气促）</t>
  </si>
  <si>
    <t>于丽丽</t>
  </si>
  <si>
    <t>黄宜汉</t>
  </si>
  <si>
    <t>徐灵子</t>
  </si>
  <si>
    <t>段风丽</t>
  </si>
  <si>
    <t>简金山</t>
  </si>
  <si>
    <t>失访</t>
  </si>
  <si>
    <t>张洪利</t>
  </si>
  <si>
    <t>徐江龙</t>
  </si>
  <si>
    <t>停药两年后，痰菌阳性</t>
  </si>
  <si>
    <t>陈振盛</t>
  </si>
  <si>
    <t>林贵池</t>
  </si>
  <si>
    <t>杜永付</t>
  </si>
  <si>
    <t>李琦</t>
  </si>
  <si>
    <t>曾火英</t>
  </si>
  <si>
    <t>许泽敏</t>
  </si>
  <si>
    <t>范广义</t>
  </si>
  <si>
    <t>韩育彬</t>
  </si>
  <si>
    <t>杨盈盈</t>
  </si>
  <si>
    <t>罗会会</t>
  </si>
  <si>
    <t>周伟</t>
  </si>
  <si>
    <t>卢建章</t>
  </si>
  <si>
    <t>余吉勤</t>
  </si>
  <si>
    <t>未复查</t>
  </si>
  <si>
    <t>张瑞萍</t>
  </si>
  <si>
    <t>谢婉婷</t>
  </si>
  <si>
    <t>朱丽</t>
  </si>
  <si>
    <t>李立</t>
  </si>
  <si>
    <t>夏锋</t>
  </si>
  <si>
    <t>李煜钊</t>
  </si>
  <si>
    <t>李建美</t>
  </si>
  <si>
    <t>杨婷</t>
  </si>
  <si>
    <t>林万柳</t>
  </si>
  <si>
    <t>张勇辉</t>
  </si>
  <si>
    <t>苏伟美</t>
  </si>
  <si>
    <t>李婷婷</t>
  </si>
  <si>
    <t>郭昌盛</t>
  </si>
  <si>
    <t>胡容</t>
  </si>
  <si>
    <t>廉丽婵</t>
  </si>
  <si>
    <t>黄树璇</t>
  </si>
  <si>
    <t>罗艳梅</t>
  </si>
  <si>
    <t>宋济和</t>
  </si>
  <si>
    <t>刘定海</t>
  </si>
  <si>
    <t>李俊杰</t>
  </si>
  <si>
    <t>肖晓</t>
  </si>
  <si>
    <t>未查</t>
  </si>
  <si>
    <t>蒋爵伍</t>
  </si>
  <si>
    <t>黄承超</t>
  </si>
  <si>
    <t>朱明</t>
  </si>
  <si>
    <t>阴</t>
  </si>
  <si>
    <t>外院诊断利福平耐药</t>
  </si>
  <si>
    <t>郑丹</t>
  </si>
  <si>
    <t>停药3年后复查痰菌阴</t>
  </si>
  <si>
    <t>李聪</t>
  </si>
  <si>
    <t>李美香</t>
  </si>
  <si>
    <t>阳</t>
  </si>
  <si>
    <t>刘德强</t>
  </si>
  <si>
    <t>冯怡</t>
  </si>
  <si>
    <t>张万富</t>
  </si>
  <si>
    <t>段华彬</t>
  </si>
  <si>
    <t>死亡</t>
  </si>
  <si>
    <t>潘惠珍</t>
  </si>
  <si>
    <t>梁译尹</t>
  </si>
  <si>
    <t>曹芝强</t>
  </si>
  <si>
    <t>袁建平</t>
  </si>
  <si>
    <t>文斌</t>
  </si>
  <si>
    <t>左爱林</t>
  </si>
  <si>
    <t>李国毅</t>
  </si>
  <si>
    <t>石利</t>
  </si>
  <si>
    <t>赖鹏中</t>
  </si>
  <si>
    <t>王程</t>
  </si>
  <si>
    <t>温凝</t>
  </si>
  <si>
    <t>阳（NTM）</t>
  </si>
  <si>
    <t>张志远</t>
  </si>
  <si>
    <t>B-D</t>
  </si>
  <si>
    <t>治疗未完成失访</t>
  </si>
  <si>
    <t>谢传富</t>
  </si>
  <si>
    <t>黄汉通</t>
  </si>
  <si>
    <t>治疗一月后未来复查失访，FenXpert检测阳性，利福平耐药</t>
  </si>
  <si>
    <t>刘丹</t>
  </si>
  <si>
    <t>李昌彬</t>
  </si>
  <si>
    <t>杨爱琴</t>
  </si>
  <si>
    <t>郑惠告</t>
  </si>
  <si>
    <t>罗琴</t>
  </si>
  <si>
    <t>吴劲松</t>
  </si>
  <si>
    <t>武清宏</t>
  </si>
  <si>
    <t>黄伟权</t>
  </si>
  <si>
    <t>刘涛</t>
  </si>
  <si>
    <t>唐天明</t>
  </si>
  <si>
    <t>王振波</t>
  </si>
  <si>
    <t>阳（脓肿）</t>
  </si>
  <si>
    <t>黄立华</t>
  </si>
  <si>
    <t>谢燕萍</t>
  </si>
  <si>
    <t>吴镇波</t>
  </si>
  <si>
    <t>奚济东</t>
  </si>
  <si>
    <t>彭仁坤</t>
  </si>
  <si>
    <t>于渺</t>
  </si>
  <si>
    <t>复发</t>
  </si>
  <si>
    <t>黄苏成</t>
  </si>
  <si>
    <t>倪慧艳</t>
  </si>
  <si>
    <t>治疗4月后未来复查，失访</t>
  </si>
  <si>
    <t>郑丽春</t>
  </si>
  <si>
    <t>张爱云</t>
  </si>
  <si>
    <t>不规律治疗8月后未来复查，失访</t>
  </si>
  <si>
    <t>廖东材</t>
  </si>
  <si>
    <t>入院治疗一周后失访</t>
  </si>
  <si>
    <t>聂天成</t>
  </si>
  <si>
    <t>停药6月培养阳，未来复查，停药3年后复查培养阴</t>
  </si>
  <si>
    <t>李通突</t>
  </si>
  <si>
    <t>治疗3月后失访未来复查</t>
  </si>
  <si>
    <t>何朝芳</t>
  </si>
  <si>
    <t>幸力</t>
  </si>
  <si>
    <t>黄继锋</t>
  </si>
  <si>
    <t>杜文华</t>
  </si>
  <si>
    <t>吴维深</t>
  </si>
  <si>
    <t>王林</t>
  </si>
  <si>
    <t>治疗4月未来复查，失访</t>
  </si>
  <si>
    <t>韦治文</t>
  </si>
  <si>
    <t>停药3年后复查，正常</t>
  </si>
  <si>
    <t>张瑞兰</t>
  </si>
  <si>
    <t>肖林春</t>
  </si>
  <si>
    <t>治疗5个月失访</t>
  </si>
  <si>
    <t>夏仕容</t>
  </si>
  <si>
    <t>石应军</t>
  </si>
  <si>
    <t>柴荣江</t>
  </si>
  <si>
    <t>何金晓</t>
  </si>
  <si>
    <t>巫月华</t>
  </si>
  <si>
    <t>冉渝江</t>
  </si>
  <si>
    <t>李昔华</t>
  </si>
  <si>
    <t>停药3个月失访</t>
  </si>
  <si>
    <t>张庆</t>
  </si>
  <si>
    <t>治疗1.5个月失访</t>
  </si>
  <si>
    <t>冯燕华</t>
  </si>
  <si>
    <t>杨瑞薛</t>
  </si>
  <si>
    <t>柳启</t>
  </si>
  <si>
    <t>翟浩</t>
  </si>
  <si>
    <t>盛艳</t>
  </si>
  <si>
    <t>钟莉</t>
  </si>
  <si>
    <t>邵广龙</t>
  </si>
  <si>
    <t>郑立清</t>
  </si>
  <si>
    <t>刘洁（刘志杰）</t>
  </si>
  <si>
    <t>沈娜云</t>
  </si>
  <si>
    <t>张明根</t>
  </si>
  <si>
    <t>陈海</t>
  </si>
  <si>
    <t>刘了艳</t>
  </si>
  <si>
    <t>停药后3个月失访</t>
  </si>
  <si>
    <t>蔡宏</t>
  </si>
  <si>
    <t>王刚</t>
  </si>
  <si>
    <t>李周辉</t>
  </si>
  <si>
    <t>沈志发</t>
  </si>
  <si>
    <t>杨雪琼</t>
  </si>
  <si>
    <t>陶施文</t>
  </si>
  <si>
    <t>黄林生</t>
  </si>
  <si>
    <t>苏志君</t>
  </si>
  <si>
    <t>范志鹏</t>
  </si>
  <si>
    <t>黄明强</t>
  </si>
  <si>
    <t>谢明芳</t>
  </si>
  <si>
    <t>蔡健新</t>
  </si>
  <si>
    <t>曾佩生</t>
  </si>
  <si>
    <t>王怀能</t>
  </si>
  <si>
    <t>宋晓聪</t>
  </si>
  <si>
    <t>黄国涛</t>
  </si>
  <si>
    <t>蒋珍凤</t>
  </si>
  <si>
    <t>秦世全</t>
  </si>
  <si>
    <t>杨娟</t>
  </si>
  <si>
    <t>董世武</t>
  </si>
  <si>
    <t>刘雄兵</t>
  </si>
  <si>
    <t>熊建平</t>
  </si>
  <si>
    <t>陈连生</t>
  </si>
  <si>
    <t>严梦娜</t>
  </si>
  <si>
    <t>赵德文</t>
  </si>
  <si>
    <t>治疗两月后自行停半年又治疗半月失访</t>
  </si>
  <si>
    <t>程双金</t>
  </si>
  <si>
    <t>邓小迅</t>
  </si>
  <si>
    <t>李娜</t>
  </si>
  <si>
    <t>何绍飞</t>
  </si>
  <si>
    <t>廖镇松</t>
  </si>
  <si>
    <t>缪伟波</t>
  </si>
  <si>
    <t>江明</t>
  </si>
  <si>
    <t>谭达高</t>
  </si>
  <si>
    <t>彭俊杰</t>
  </si>
  <si>
    <t>曹裴榕</t>
  </si>
  <si>
    <t>张平</t>
  </si>
  <si>
    <t>占汉宇</t>
  </si>
  <si>
    <t>戴汉周</t>
  </si>
  <si>
    <t>治疗6个月未停药，失访</t>
  </si>
  <si>
    <t>白伏珍</t>
  </si>
  <si>
    <t>黄镇龙</t>
  </si>
  <si>
    <t>治疗5.5个月未停药，失访</t>
  </si>
  <si>
    <t>吕开兴</t>
  </si>
  <si>
    <t>治疗2个月未停药，失访</t>
  </si>
  <si>
    <t>向华典</t>
  </si>
  <si>
    <t>治疗9个月未停药，失访</t>
  </si>
  <si>
    <t>朴慧玲</t>
  </si>
  <si>
    <t>吴本烈</t>
  </si>
  <si>
    <t>温茂花</t>
  </si>
  <si>
    <t>黄青红</t>
  </si>
  <si>
    <t>张炼烤</t>
  </si>
  <si>
    <t>治疗1个月，失访</t>
  </si>
  <si>
    <t>张金枝</t>
  </si>
  <si>
    <t>郑富隆</t>
  </si>
  <si>
    <t>张亮</t>
  </si>
  <si>
    <t>聂家文（聂轩）</t>
  </si>
  <si>
    <t>郭易峰</t>
  </si>
  <si>
    <t>佘绍扬</t>
  </si>
  <si>
    <t>刘龙贤</t>
  </si>
  <si>
    <t>治疗2个月，失访</t>
  </si>
  <si>
    <t>杨贤钊</t>
  </si>
  <si>
    <t>治疗2.5个月，失访</t>
  </si>
  <si>
    <t>冯才茂</t>
  </si>
  <si>
    <t>李家仪</t>
  </si>
  <si>
    <t>刘君</t>
  </si>
  <si>
    <t>治疗1个月失访</t>
  </si>
  <si>
    <t>陈建明</t>
  </si>
  <si>
    <t>刚停药</t>
  </si>
  <si>
    <t>刘冬华</t>
  </si>
  <si>
    <t>刘国华</t>
  </si>
  <si>
    <t>杨程</t>
  </si>
  <si>
    <t>杨阳</t>
  </si>
  <si>
    <t>李桂玲</t>
  </si>
  <si>
    <t>史绍明</t>
  </si>
  <si>
    <t>邹启斌</t>
  </si>
  <si>
    <t>自行停药1年余后重启治疗抗结核2月失访</t>
  </si>
  <si>
    <t>张水明</t>
  </si>
  <si>
    <t>治疗9个月失访</t>
  </si>
  <si>
    <t>巫摇波</t>
  </si>
  <si>
    <t>未做</t>
  </si>
  <si>
    <t>敬洪礼</t>
  </si>
  <si>
    <t>B-E</t>
  </si>
  <si>
    <t>治疗6个月自行停药2个月</t>
  </si>
  <si>
    <t>李燕佳</t>
  </si>
  <si>
    <t>曹小理</t>
  </si>
  <si>
    <t>梁文恩</t>
  </si>
  <si>
    <t>郭连新</t>
  </si>
  <si>
    <t>筛选失败</t>
  </si>
  <si>
    <t>黄铠煌</t>
  </si>
  <si>
    <t>24</t>
  </si>
  <si>
    <t>王金龙</t>
  </si>
  <si>
    <t>治疗半个月自行停药半年</t>
  </si>
  <si>
    <t>孙长军</t>
  </si>
  <si>
    <t>治疗4个月失访</t>
  </si>
  <si>
    <t>肖盼</t>
  </si>
  <si>
    <t>黄大光</t>
  </si>
  <si>
    <t>无有效治疗方案</t>
  </si>
  <si>
    <t>黄俊华</t>
  </si>
  <si>
    <t>治疗2个月自行停药半个月</t>
  </si>
  <si>
    <t>邹新富</t>
  </si>
  <si>
    <t>韦梅</t>
  </si>
  <si>
    <t>朱桂花</t>
  </si>
  <si>
    <t>李长国</t>
  </si>
  <si>
    <t>濮荣花</t>
  </si>
  <si>
    <t>张玉湖</t>
  </si>
  <si>
    <t>治疗2周失访</t>
  </si>
  <si>
    <t>周令河</t>
  </si>
  <si>
    <t>罗召杰</t>
  </si>
  <si>
    <t>艾显青</t>
  </si>
  <si>
    <t>陶能明</t>
  </si>
  <si>
    <r>
      <rPr>
        <sz val="11"/>
        <color rgb="FF000000"/>
        <rFont val="宋体"/>
        <charset val="134"/>
      </rPr>
      <t>A</t>
    </r>
    <r>
      <rPr>
        <sz val="11"/>
        <color rgb="FF000000"/>
        <rFont val="宋体"/>
        <charset val="134"/>
      </rPr>
      <t xml:space="preserve"> </t>
    </r>
  </si>
  <si>
    <t>匡剑</t>
  </si>
  <si>
    <t>庄婷婷</t>
  </si>
  <si>
    <t>治疗20月停药观察</t>
  </si>
  <si>
    <t>李长捷</t>
  </si>
  <si>
    <t>治疗4月余后失访</t>
  </si>
  <si>
    <t>许孟凡</t>
  </si>
  <si>
    <t>自行停药建议重新计算开始疗程</t>
  </si>
  <si>
    <t>郭镇涛</t>
  </si>
  <si>
    <t>王蜓</t>
  </si>
  <si>
    <t>刘菊芳</t>
  </si>
  <si>
    <t>赵小碧</t>
  </si>
  <si>
    <t>退出</t>
  </si>
  <si>
    <t>王旋</t>
  </si>
  <si>
    <t>E-C</t>
  </si>
  <si>
    <t>陈曲</t>
  </si>
  <si>
    <t>治疗结束后失访</t>
  </si>
  <si>
    <t>邝朝甘</t>
  </si>
  <si>
    <t>周先艺</t>
  </si>
  <si>
    <t>广州胸科</t>
  </si>
  <si>
    <t>郭福原</t>
  </si>
  <si>
    <t>阴性（2025-06-03）</t>
  </si>
  <si>
    <t>阴性（2025-12-16）</t>
  </si>
  <si>
    <t>无</t>
  </si>
  <si>
    <t>治愈</t>
  </si>
  <si>
    <t>盖旭红</t>
  </si>
  <si>
    <t>A9</t>
  </si>
  <si>
    <t>阴性（2023-12-5）</t>
  </si>
  <si>
    <t>阴性（2025-1-21）</t>
  </si>
  <si>
    <t>未复诊</t>
  </si>
  <si>
    <t>招妙芬</t>
  </si>
  <si>
    <t>A6</t>
  </si>
  <si>
    <t>阴性（2022-12-15）</t>
  </si>
  <si>
    <t>阴性（2023-04-10）</t>
  </si>
  <si>
    <t>阴性（2023-10-26）</t>
  </si>
  <si>
    <t>阴性（2025-10-21）</t>
  </si>
  <si>
    <t>李茂聪</t>
  </si>
  <si>
    <t>无需随机</t>
  </si>
  <si>
    <t>阴性（2025-04-23）</t>
  </si>
  <si>
    <t>阴性（2025-07-29）</t>
  </si>
  <si>
    <t>王海城</t>
  </si>
  <si>
    <t>阴性（2024-11-15）</t>
  </si>
  <si>
    <t>阴性（2025-07-15）</t>
  </si>
  <si>
    <t>杨雅诗</t>
  </si>
  <si>
    <t>污染</t>
  </si>
  <si>
    <t>阴性（2025-03-11）</t>
  </si>
  <si>
    <t>阴性（2025-07-01）</t>
  </si>
  <si>
    <t>林康晓</t>
  </si>
  <si>
    <t>阴性（2024-11-21）</t>
  </si>
  <si>
    <t>阴性（2025-06-26）</t>
  </si>
  <si>
    <t>邹艳婷</t>
  </si>
  <si>
    <t>C9</t>
  </si>
  <si>
    <t>阳性（2025-02-24）</t>
  </si>
  <si>
    <t>阴性（2025-04-07）</t>
  </si>
  <si>
    <t>冯舟艳</t>
  </si>
  <si>
    <t>阴性（2022-06-02）</t>
  </si>
  <si>
    <t>污染，确定无结核菌（CT无变化）</t>
  </si>
  <si>
    <t>阴性（2025-03-20）</t>
  </si>
  <si>
    <t>彭佳君</t>
  </si>
  <si>
    <t>阴性（2024-12-03）</t>
  </si>
  <si>
    <t>阴性（2025-03-04）</t>
  </si>
  <si>
    <t>黄建华（提前出组）</t>
  </si>
  <si>
    <t>阴性（2024-08-13）</t>
  </si>
  <si>
    <t>阴性（2025-02-28）</t>
  </si>
  <si>
    <t>覃双双</t>
  </si>
  <si>
    <t>阴性（2024-07-25）</t>
  </si>
  <si>
    <t>阴性（2025-01-16）</t>
  </si>
  <si>
    <t>柯海印</t>
  </si>
  <si>
    <t>阴性（2025-03-27）</t>
  </si>
  <si>
    <t>阴性（2024-11-06）</t>
  </si>
  <si>
    <t>陈毅斌</t>
  </si>
  <si>
    <t>阴性（2023-1-26）</t>
  </si>
  <si>
    <t>阴性（2024-03-08）</t>
  </si>
  <si>
    <t>阴性（2024-10-29）</t>
  </si>
  <si>
    <t>陈叶桐</t>
  </si>
  <si>
    <t>B6</t>
  </si>
  <si>
    <t>阴性（2024-04-23）</t>
  </si>
  <si>
    <t>阴性（2024-10-22）</t>
  </si>
  <si>
    <t>黄志彬</t>
  </si>
  <si>
    <t>阴性（2023-03-11）</t>
  </si>
  <si>
    <r>
      <rPr>
        <sz val="11"/>
        <color rgb="FFFF0000"/>
        <rFont val="宋体"/>
        <charset val="134"/>
      </rPr>
      <t>阴性（</t>
    </r>
    <r>
      <rPr>
        <sz val="11"/>
        <color rgb="FFFF0000"/>
        <rFont val="Calibri"/>
        <charset val="134"/>
      </rPr>
      <t>2024-2-25</t>
    </r>
    <r>
      <rPr>
        <sz val="11"/>
        <color rgb="FFFF0000"/>
        <rFont val="宋体"/>
        <charset val="134"/>
      </rPr>
      <t>）</t>
    </r>
  </si>
  <si>
    <r>
      <rPr>
        <sz val="11"/>
        <color rgb="FFFF0000"/>
        <rFont val="宋体"/>
        <charset val="134"/>
      </rPr>
      <t>阴性（</t>
    </r>
    <r>
      <rPr>
        <sz val="11"/>
        <color rgb="FFFF0000"/>
        <rFont val="Calibri"/>
        <charset val="134"/>
      </rPr>
      <t>2024-09-03</t>
    </r>
    <r>
      <rPr>
        <sz val="11"/>
        <color rgb="FFFF0000"/>
        <rFont val="宋体"/>
        <charset val="134"/>
      </rPr>
      <t>）2024.8.31病灶增多，空洞形成，TB-RNA阳性，诊断复发，再次治疗+手术，病灶TB-RNA阳性，培养阴性</t>
    </r>
  </si>
  <si>
    <t>失败</t>
  </si>
  <si>
    <t>方伟</t>
  </si>
  <si>
    <t>阴性（2023-01-02）</t>
  </si>
  <si>
    <t>阴性（2023-06-26）</t>
  </si>
  <si>
    <t>未做（复查CT病灶好转）</t>
  </si>
  <si>
    <t>阴性（2024-06-12）</t>
  </si>
  <si>
    <t>苏燕钦</t>
  </si>
  <si>
    <t>阴性（2023-02-26）</t>
  </si>
  <si>
    <t>阴性（2024-02-01）</t>
  </si>
  <si>
    <t>阴性（2024-06-03）</t>
  </si>
  <si>
    <t>许继栋</t>
  </si>
  <si>
    <t>阴性（2022-12-12）</t>
  </si>
  <si>
    <t>阴性（2023-03-17）</t>
  </si>
  <si>
    <t>阴性（2023-9-12）</t>
  </si>
  <si>
    <t>阴性（2024-04-16）</t>
  </si>
  <si>
    <t>孟向峰</t>
  </si>
  <si>
    <t>阴性（2023-04-07）</t>
  </si>
  <si>
    <t>阴性（2023-07-06）</t>
  </si>
  <si>
    <t>杨培培</t>
  </si>
  <si>
    <t>未做（CT无变化）</t>
  </si>
  <si>
    <t>张静涛</t>
  </si>
  <si>
    <t>阴性（2025-07-31）</t>
  </si>
  <si>
    <t>黄锐航</t>
  </si>
  <si>
    <t>曾香林</t>
  </si>
  <si>
    <t>阴性（2024-1-9）</t>
  </si>
  <si>
    <t>刘少龙</t>
  </si>
  <si>
    <t>阴性（2023-02-09）</t>
  </si>
  <si>
    <t>未做（复查病灶好转稳定）</t>
  </si>
  <si>
    <t>曾北水</t>
  </si>
  <si>
    <t>未做（CT好转）</t>
  </si>
  <si>
    <t>林燕珍</t>
  </si>
  <si>
    <t>阴性（2025-02-14）</t>
  </si>
  <si>
    <t>彭颜颜</t>
  </si>
  <si>
    <t>阴性（2025-01-10）</t>
  </si>
  <si>
    <t>刘梅</t>
  </si>
  <si>
    <t>梁晓榆</t>
  </si>
  <si>
    <t>秦健儿</t>
  </si>
  <si>
    <t>徐钟珑</t>
  </si>
  <si>
    <t>C6</t>
  </si>
  <si>
    <t>阴性（2022-10-14）</t>
  </si>
  <si>
    <t>阴性（2023-05-18）</t>
  </si>
  <si>
    <t>徐宝堂</t>
  </si>
  <si>
    <t>禤维猎</t>
  </si>
  <si>
    <t>曾成周</t>
  </si>
  <si>
    <t>阴性（2024-6-14）</t>
  </si>
  <si>
    <t>张燕伟（失访）</t>
  </si>
  <si>
    <t>刘伟（失访）</t>
  </si>
  <si>
    <t>吴成东（失访）</t>
  </si>
  <si>
    <t>吴钦泽（失访）</t>
  </si>
  <si>
    <t>蔡翠玉（失访）</t>
  </si>
  <si>
    <t>林晓鲜（失访）</t>
  </si>
  <si>
    <t>阴性（2024-10-17）</t>
  </si>
  <si>
    <t>陈喜生（失访）</t>
  </si>
  <si>
    <t>杨敏权（失访）</t>
  </si>
  <si>
    <t>阴性（2023-4-25）</t>
  </si>
  <si>
    <t>罗瑞宣（失访）</t>
  </si>
  <si>
    <t>阴性（2022-10-18）</t>
  </si>
  <si>
    <t>王伟乔（提前出组）</t>
  </si>
  <si>
    <t>吴文华</t>
  </si>
  <si>
    <t>阴性（2025-03-24）</t>
  </si>
  <si>
    <t>未做检查，未查到复发信息</t>
  </si>
  <si>
    <t>其他</t>
  </si>
  <si>
    <t>唐小兰</t>
  </si>
  <si>
    <t>王国全</t>
  </si>
  <si>
    <t>阴性（2025-06-06）</t>
  </si>
  <si>
    <t>吴建海</t>
  </si>
  <si>
    <t>刘理滨</t>
  </si>
  <si>
    <t>谢博</t>
  </si>
  <si>
    <t>阴性（2025-03-06）</t>
  </si>
  <si>
    <t>卢俊江</t>
  </si>
  <si>
    <t>吴立威</t>
  </si>
  <si>
    <t>阴性（2024-08-01）</t>
  </si>
  <si>
    <t>梁馨予</t>
  </si>
  <si>
    <t>阳性（菌鉴NTM）</t>
  </si>
  <si>
    <t>杨焯钧</t>
  </si>
  <si>
    <t>梁渭滨（失访）</t>
  </si>
  <si>
    <t>许玲玲</t>
  </si>
  <si>
    <t>樊国森</t>
  </si>
  <si>
    <t>阴性（2023-7-12）</t>
  </si>
  <si>
    <t>阴性（2024-5-10）</t>
  </si>
  <si>
    <t>朱福儒</t>
  </si>
  <si>
    <t>阴性（2023-2-2）</t>
  </si>
  <si>
    <t>曾展航</t>
  </si>
  <si>
    <t>阴性（2023-5-5）</t>
  </si>
  <si>
    <t>吴玉坤</t>
  </si>
  <si>
    <t>阴性（2024-3-14）</t>
  </si>
  <si>
    <t>林雪贤</t>
  </si>
  <si>
    <t>阴性（2023-4-7）</t>
  </si>
  <si>
    <t>唐亚武</t>
  </si>
  <si>
    <t>阴性（2022-12-30）</t>
  </si>
  <si>
    <t>贺文</t>
  </si>
  <si>
    <t>阴性（2023-02-16）</t>
  </si>
  <si>
    <t>阴性（2023-06-15）</t>
  </si>
  <si>
    <t>陆发娣</t>
  </si>
  <si>
    <t>3.2已做未回报告</t>
  </si>
  <si>
    <t>未到时间复查</t>
  </si>
  <si>
    <t>完成疗程</t>
  </si>
  <si>
    <t>徐海燕</t>
  </si>
  <si>
    <t>张凤琳</t>
  </si>
  <si>
    <t>李望</t>
  </si>
  <si>
    <t>吴淑霞</t>
  </si>
  <si>
    <t>陈仁辉</t>
  </si>
  <si>
    <t>陈家俊</t>
  </si>
  <si>
    <t>阴性（2025-02-22）</t>
  </si>
  <si>
    <t>徐亦庆</t>
  </si>
  <si>
    <t>林晓君</t>
  </si>
  <si>
    <t>陈龙</t>
  </si>
  <si>
    <t>阴性（2025-09-15）</t>
  </si>
  <si>
    <t>未到复诊时间</t>
  </si>
  <si>
    <t>黄雲</t>
  </si>
  <si>
    <t>阴性（2025-08-01）</t>
  </si>
  <si>
    <t>佛山四院</t>
  </si>
  <si>
    <t>GRFU</t>
  </si>
  <si>
    <t>36</t>
  </si>
  <si>
    <t>ZJCH</t>
  </si>
  <si>
    <t>65</t>
  </si>
  <si>
    <t>XSZH</t>
  </si>
  <si>
    <t>75</t>
  </si>
  <si>
    <t>CWGU</t>
  </si>
  <si>
    <t>59</t>
  </si>
  <si>
    <t>DOBO</t>
  </si>
  <si>
    <t>44</t>
  </si>
  <si>
    <t>PZYU</t>
  </si>
  <si>
    <t>26</t>
  </si>
  <si>
    <t>ZNQU</t>
  </si>
  <si>
    <t>47</t>
  </si>
  <si>
    <t>退组</t>
  </si>
  <si>
    <t>ZJYU</t>
  </si>
  <si>
    <t>42</t>
  </si>
  <si>
    <t>LHME</t>
  </si>
  <si>
    <t>50</t>
  </si>
  <si>
    <t>YYME</t>
  </si>
  <si>
    <t>30</t>
  </si>
  <si>
    <t>ANZH</t>
  </si>
  <si>
    <t>32</t>
  </si>
  <si>
    <t>WPYO</t>
  </si>
  <si>
    <t>25</t>
  </si>
  <si>
    <t>MCYA</t>
  </si>
  <si>
    <t>31</t>
  </si>
  <si>
    <t>WZLI</t>
  </si>
  <si>
    <t>64</t>
  </si>
  <si>
    <t>LJXI</t>
  </si>
  <si>
    <t>27</t>
  </si>
  <si>
    <t>HYJU</t>
  </si>
  <si>
    <t>29</t>
  </si>
  <si>
    <t>ZSQI</t>
  </si>
  <si>
    <t>LCWE</t>
  </si>
  <si>
    <t>17</t>
  </si>
  <si>
    <t>HZGU</t>
  </si>
  <si>
    <t>LJBI</t>
  </si>
  <si>
    <t>CHLE</t>
  </si>
  <si>
    <t>18</t>
  </si>
  <si>
    <t>YPSH</t>
  </si>
  <si>
    <t>JQHU</t>
  </si>
  <si>
    <t>51</t>
  </si>
  <si>
    <t>LIYO</t>
  </si>
  <si>
    <t>38</t>
  </si>
  <si>
    <t>LZGA</t>
  </si>
  <si>
    <t>21</t>
  </si>
  <si>
    <t>YYYA</t>
  </si>
  <si>
    <t>23</t>
  </si>
  <si>
    <t>LXFA</t>
  </si>
  <si>
    <t>15</t>
  </si>
  <si>
    <t>丢失</t>
  </si>
  <si>
    <t>WFWU</t>
  </si>
  <si>
    <t>LQYA</t>
  </si>
  <si>
    <t>HWTA</t>
  </si>
  <si>
    <t>XSLU</t>
  </si>
  <si>
    <t>ZCNI</t>
  </si>
  <si>
    <t>77</t>
  </si>
  <si>
    <t>LLFE</t>
  </si>
  <si>
    <t>ZGHU</t>
  </si>
  <si>
    <t>LXMI</t>
  </si>
  <si>
    <t>48</t>
  </si>
  <si>
    <t>WXSH</t>
  </si>
  <si>
    <t>GLHO</t>
  </si>
  <si>
    <t>34</t>
  </si>
  <si>
    <t>HYSH</t>
  </si>
  <si>
    <t>DUYA</t>
  </si>
  <si>
    <t>HQBI</t>
  </si>
  <si>
    <t>55</t>
  </si>
  <si>
    <t>LIQI</t>
  </si>
  <si>
    <t>39</t>
  </si>
  <si>
    <t>HYQI</t>
  </si>
  <si>
    <t>28</t>
  </si>
  <si>
    <t>HCZH</t>
  </si>
  <si>
    <t>GYLU</t>
  </si>
  <si>
    <t>LHXU</t>
  </si>
  <si>
    <t>LYSO</t>
  </si>
  <si>
    <t>79</t>
  </si>
  <si>
    <t>ZHQI</t>
  </si>
  <si>
    <t>ZXSO</t>
  </si>
  <si>
    <t>FQCH</t>
  </si>
  <si>
    <t>58</t>
  </si>
  <si>
    <t>HXCH</t>
  </si>
  <si>
    <t>60</t>
  </si>
  <si>
    <t>广西壮族自治区胸科医院</t>
  </si>
  <si>
    <t>WAQI</t>
  </si>
  <si>
    <t>LSPE</t>
  </si>
  <si>
    <t>LIXI</t>
  </si>
  <si>
    <t>WTFU</t>
  </si>
  <si>
    <t>不可评估</t>
  </si>
  <si>
    <t>TQHU</t>
  </si>
  <si>
    <t>LDWE</t>
  </si>
  <si>
    <t>YHFA</t>
  </si>
  <si>
    <t>PLQI</t>
  </si>
  <si>
    <t>LLHU</t>
  </si>
  <si>
    <t>MYQI</t>
  </si>
  <si>
    <t>HWZH</t>
  </si>
  <si>
    <t>MABI</t>
  </si>
  <si>
    <t>LZLI</t>
  </si>
  <si>
    <t>LRMI</t>
  </si>
  <si>
    <t>ZXJI</t>
  </si>
  <si>
    <t>CJSO</t>
  </si>
  <si>
    <t>MSQI</t>
  </si>
  <si>
    <t>HJGA</t>
  </si>
  <si>
    <t>LXXI</t>
  </si>
  <si>
    <t>WJLE</t>
  </si>
  <si>
    <t>LYJI</t>
  </si>
  <si>
    <t>MSJI</t>
  </si>
  <si>
    <t>WDSH</t>
  </si>
  <si>
    <t>YSGU</t>
  </si>
  <si>
    <t>MWFE</t>
  </si>
  <si>
    <t>XZYA</t>
  </si>
  <si>
    <t>GJBA</t>
  </si>
  <si>
    <t>GJLI</t>
  </si>
  <si>
    <t>LRNI</t>
  </si>
  <si>
    <t>MERO</t>
  </si>
  <si>
    <t>ZHHU</t>
  </si>
  <si>
    <t>LHQI</t>
  </si>
  <si>
    <t>ZWNA</t>
  </si>
  <si>
    <t>LYZH</t>
  </si>
  <si>
    <t>GSZH</t>
  </si>
  <si>
    <t>YCJI</t>
  </si>
  <si>
    <t>YZPI</t>
  </si>
  <si>
    <t>CKMI</t>
  </si>
  <si>
    <t>TMYA</t>
  </si>
  <si>
    <t>LIHO</t>
  </si>
  <si>
    <t>LHYU</t>
  </si>
  <si>
    <t>HZCH</t>
  </si>
  <si>
    <t>LAZH</t>
  </si>
  <si>
    <t>WYJI</t>
  </si>
  <si>
    <t>阿克苏三院</t>
  </si>
  <si>
    <t>热亚尼木·尼亚孜</t>
  </si>
  <si>
    <t>9BdqLzdLfxCsPza</t>
  </si>
  <si>
    <t>刘志鹏</t>
  </si>
  <si>
    <t>艾麦尔·艾麦提</t>
  </si>
  <si>
    <r>
      <rPr>
        <sz val="11"/>
        <color rgb="FF0000FF"/>
        <rFont val="Calibri"/>
        <charset val="134"/>
        <scheme val="minor"/>
      </rPr>
      <t>6</t>
    </r>
    <r>
      <rPr>
        <sz val="11"/>
        <color rgb="FF0000FF"/>
        <rFont val="Calibri"/>
        <charset val="134"/>
        <scheme val="minor"/>
      </rPr>
      <t>月撤药（治疗失败后重新制定方案）</t>
    </r>
  </si>
  <si>
    <t>治疗失败</t>
  </si>
  <si>
    <t>塔力甫·阿巴斯</t>
  </si>
  <si>
    <t>古力亚尔·艾则孜</t>
  </si>
  <si>
    <t>吐鲁洪·莫明</t>
  </si>
  <si>
    <t>吾热汗·依斯马义力</t>
  </si>
  <si>
    <t>热比牙木·艾麦提</t>
  </si>
  <si>
    <t>帕坦木·玉苏甫</t>
  </si>
  <si>
    <t>阿丽屯古丽·图热洪</t>
  </si>
  <si>
    <t>艾尔肯·尼亚孜</t>
  </si>
  <si>
    <t>阿力木·买买提</t>
  </si>
  <si>
    <t>常玉兰</t>
  </si>
  <si>
    <t>努尔罕·如苏力</t>
  </si>
  <si>
    <t>托合提·热合曼</t>
  </si>
  <si>
    <t>莫吾兰·库尔班</t>
  </si>
  <si>
    <t>艾克然木·艾麦提</t>
  </si>
  <si>
    <t>帕旦木·艾拜</t>
  </si>
  <si>
    <t>阿瓦汗·阿布来提</t>
  </si>
  <si>
    <t>侯军蒲</t>
  </si>
  <si>
    <t>麦麦提·谢依合</t>
  </si>
  <si>
    <t xml:space="preserve">9LzdCsCfzMfxPza  </t>
  </si>
  <si>
    <t>托乎尼亚孜·吐尼亚孜</t>
  </si>
  <si>
    <t>徐地学</t>
  </si>
  <si>
    <t>失联</t>
  </si>
  <si>
    <t>艾则孜江·喀迪尔</t>
  </si>
  <si>
    <t>胃癌，姑息治疗</t>
  </si>
  <si>
    <t>李鑫</t>
  </si>
  <si>
    <t>9BdqLzdCsCfzPza</t>
  </si>
  <si>
    <t>艾海提·阿布东</t>
  </si>
  <si>
    <t>陈刚文</t>
  </si>
  <si>
    <t>阿依谢木·托合提</t>
  </si>
  <si>
    <t>张泽飞</t>
  </si>
  <si>
    <t>田志明</t>
  </si>
  <si>
    <t>江门市结核病防治所</t>
  </si>
  <si>
    <t>邝华新</t>
  </si>
  <si>
    <t>未出</t>
  </si>
  <si>
    <t>未到时间</t>
  </si>
  <si>
    <t>吴玉方</t>
  </si>
  <si>
    <t>冯永民</t>
  </si>
  <si>
    <t>林俭俭</t>
  </si>
  <si>
    <t>叶连杏</t>
  </si>
  <si>
    <t>吕辉</t>
  </si>
  <si>
    <t>郭恒</t>
  </si>
  <si>
    <t>无查痰</t>
  </si>
  <si>
    <t>张艳红</t>
  </si>
  <si>
    <t>周福华</t>
  </si>
  <si>
    <t>梁詠媚</t>
  </si>
  <si>
    <t>黄国洪</t>
  </si>
  <si>
    <t>徐锦明</t>
  </si>
  <si>
    <t>黄能壮</t>
  </si>
  <si>
    <t>阳性（抗原阴性）</t>
  </si>
  <si>
    <t>李仕欢</t>
  </si>
  <si>
    <t>岑振兰</t>
  </si>
  <si>
    <t>刘仕根</t>
  </si>
  <si>
    <t>谭嘉晖</t>
  </si>
  <si>
    <t>伍珍结</t>
  </si>
  <si>
    <t>周仁实</t>
  </si>
  <si>
    <t>邓杰文</t>
  </si>
  <si>
    <r>
      <rPr>
        <sz val="11"/>
        <color rgb="FF000000"/>
        <rFont val="微软雅黑"/>
        <charset val="134"/>
      </rPr>
      <t>雷长富</t>
    </r>
    <r>
      <rPr>
        <sz val="11"/>
        <color indexed="8"/>
        <rFont val="Calibri"/>
        <charset val="134"/>
        <scheme val="minor"/>
      </rPr>
      <t>（治疗失败）</t>
    </r>
  </si>
  <si>
    <t>张泳权</t>
  </si>
  <si>
    <t>李有仔</t>
  </si>
  <si>
    <t>张权超</t>
  </si>
  <si>
    <t>冯思明</t>
  </si>
  <si>
    <t>吕银英</t>
  </si>
  <si>
    <t>廖志坚</t>
  </si>
  <si>
    <t>林振亮</t>
  </si>
  <si>
    <t>陈焕森</t>
  </si>
  <si>
    <r>
      <rPr>
        <sz val="11"/>
        <color rgb="FF000000"/>
        <rFont val="微软雅黑"/>
        <charset val="134"/>
      </rPr>
      <t>王盛昌（退组</t>
    </r>
    <r>
      <rPr>
        <sz val="11"/>
        <color indexed="8"/>
        <rFont val="Calibri"/>
        <charset val="134"/>
        <scheme val="minor"/>
      </rPr>
      <t>）</t>
    </r>
  </si>
  <si>
    <t>张著霞</t>
  </si>
  <si>
    <t>马燕玲</t>
  </si>
  <si>
    <r>
      <rPr>
        <sz val="11"/>
        <color rgb="FF000000"/>
        <rFont val="微软雅黑"/>
        <charset val="134"/>
      </rPr>
      <t>李建南</t>
    </r>
    <r>
      <rPr>
        <sz val="11"/>
        <color indexed="8"/>
        <rFont val="Calibri"/>
        <charset val="134"/>
        <scheme val="minor"/>
      </rPr>
      <t>（退组）</t>
    </r>
  </si>
  <si>
    <t>李丽燕</t>
  </si>
  <si>
    <t>谭健芳</t>
  </si>
  <si>
    <t>梁满国</t>
  </si>
  <si>
    <r>
      <rPr>
        <sz val="11"/>
        <color rgb="FF000000"/>
        <rFont val="微软雅黑"/>
        <charset val="134"/>
      </rPr>
      <t>林沃贵</t>
    </r>
    <r>
      <rPr>
        <sz val="11"/>
        <color indexed="8"/>
        <rFont val="Calibri"/>
        <charset val="134"/>
        <scheme val="minor"/>
      </rPr>
      <t>（退组）</t>
    </r>
  </si>
  <si>
    <t>潘梓茵</t>
  </si>
  <si>
    <t>陈创坤</t>
  </si>
  <si>
    <t>胡羡爱</t>
  </si>
  <si>
    <t>刘正甫</t>
  </si>
  <si>
    <t>桂林市第三人民医院</t>
  </si>
  <si>
    <t>刘连荣</t>
  </si>
  <si>
    <t>54</t>
  </si>
  <si>
    <t>D组</t>
  </si>
  <si>
    <t>骆单华</t>
  </si>
  <si>
    <t>40</t>
  </si>
  <si>
    <t>宾爱凤</t>
  </si>
  <si>
    <t>49</t>
  </si>
  <si>
    <t>C组</t>
  </si>
  <si>
    <t>王忠友</t>
  </si>
  <si>
    <t>A组</t>
  </si>
  <si>
    <t>黄秀平</t>
  </si>
  <si>
    <t>唐愉琴</t>
  </si>
  <si>
    <t>彭振喜</t>
  </si>
  <si>
    <t>黎志全</t>
  </si>
  <si>
    <t>周金益</t>
  </si>
  <si>
    <t>56</t>
  </si>
  <si>
    <t>B组</t>
  </si>
  <si>
    <t>李成波</t>
  </si>
  <si>
    <t>欧阳植海</t>
  </si>
  <si>
    <t>赵能</t>
  </si>
  <si>
    <t>61</t>
  </si>
  <si>
    <t>王盛明</t>
  </si>
  <si>
    <t>刘仁生</t>
  </si>
  <si>
    <t>杨娇娇</t>
  </si>
  <si>
    <t>莫小刚</t>
  </si>
  <si>
    <t>钟荣四</t>
  </si>
  <si>
    <t>李益斌</t>
  </si>
  <si>
    <t>王万利</t>
  </si>
  <si>
    <t>46</t>
  </si>
  <si>
    <t>陈善文</t>
  </si>
  <si>
    <t>覃金洪</t>
  </si>
  <si>
    <t>43</t>
  </si>
  <si>
    <t>劳丽芳</t>
  </si>
  <si>
    <t>41</t>
  </si>
  <si>
    <t>A6组</t>
  </si>
  <si>
    <t>韦红珏</t>
  </si>
  <si>
    <t>彭永明</t>
  </si>
  <si>
    <t>张子贤</t>
  </si>
  <si>
    <t>谢黄广</t>
  </si>
  <si>
    <t>赵长春</t>
  </si>
  <si>
    <t>李洋洋</t>
  </si>
  <si>
    <t>谢林霞</t>
  </si>
  <si>
    <t>黄华艳</t>
  </si>
  <si>
    <t>杨申芝</t>
  </si>
  <si>
    <t>黄忠</t>
  </si>
  <si>
    <t>季永兰</t>
  </si>
  <si>
    <t>62</t>
  </si>
  <si>
    <t>彭安国</t>
  </si>
  <si>
    <t>69</t>
  </si>
  <si>
    <t>廖连有</t>
  </si>
  <si>
    <t>诸葛全</t>
  </si>
  <si>
    <t>李芳林</t>
  </si>
  <si>
    <t>未结束治疗</t>
  </si>
  <si>
    <t>秦苏杰</t>
  </si>
  <si>
    <t>汕头三院</t>
  </si>
  <si>
    <t>苏荣</t>
  </si>
  <si>
    <t>林胜涛</t>
  </si>
  <si>
    <t>林修迎</t>
  </si>
  <si>
    <t xml:space="preserve">否 </t>
  </si>
  <si>
    <t>马慈岳</t>
  </si>
  <si>
    <t>林锡文</t>
  </si>
  <si>
    <t>王学邦</t>
  </si>
  <si>
    <t>林树华</t>
  </si>
  <si>
    <t>沈少敏</t>
  </si>
  <si>
    <t>张树茂</t>
  </si>
  <si>
    <t>谢佳鑫</t>
  </si>
  <si>
    <t>林克义</t>
  </si>
  <si>
    <t>翁松浩</t>
  </si>
  <si>
    <t>黄凯营</t>
  </si>
  <si>
    <t>周晓彬</t>
  </si>
  <si>
    <t>有</t>
  </si>
  <si>
    <t>视神经损伤，视物模糊，经眼科治疗后，完全恢复。</t>
  </si>
  <si>
    <t>王海珊</t>
  </si>
  <si>
    <t>李瑞城</t>
  </si>
  <si>
    <t>连钟池</t>
  </si>
  <si>
    <t>河南胸科</t>
  </si>
  <si>
    <t>重庆公卫</t>
  </si>
  <si>
    <t>0000857036（张巧银）</t>
  </si>
  <si>
    <t>30岁</t>
  </si>
  <si>
    <t>B组/Mfx-Lzd-Cs-Cfz-Z</t>
  </si>
  <si>
    <t>0000871510（白和英）</t>
  </si>
  <si>
    <t>56岁</t>
  </si>
  <si>
    <t>C组/6Bdq-Lzd-Cfz-Cs-Z</t>
  </si>
  <si>
    <t>0000865942（王官发）</t>
  </si>
  <si>
    <t>71岁</t>
  </si>
  <si>
    <t>（2023.8月因胃肠道副反应住院，患者因胃肠道反应一直未用结核药，建议患者院外消化科进一步诊治，患者未遵医嘱，2023.11月再次于我院住院，继续予以患者Bdq-Lzd-Cfz-Cs-Z抗结核治疗。</t>
  </si>
  <si>
    <t>0000845007（朱陵）</t>
  </si>
  <si>
    <t>B组/6Cs-Lzd-Cfz-Z-Mfx</t>
  </si>
  <si>
    <t>0000866106（任国茂）</t>
  </si>
  <si>
    <t>75岁</t>
  </si>
  <si>
    <t>B组/Mfx、Lzd、Cfz、Cs、Z</t>
  </si>
  <si>
    <t>0000654672（胡章清）</t>
  </si>
  <si>
    <t>B组/6-9Mfx-Lzd-Cs-Cfz-Z</t>
  </si>
  <si>
    <t>2023.7.10</t>
  </si>
  <si>
    <t>自行停药时，未留痰培养检查</t>
  </si>
  <si>
    <t>自行停药6月后，未留痰培养检查</t>
  </si>
  <si>
    <t>自行停药12月后，未留痰培养检查</t>
  </si>
  <si>
    <t>患者耐药结核治疗7月后，自行停结核药。</t>
  </si>
  <si>
    <t>患者耐药结核治疗7月后，自行停结核药。2025.5.6再次抗结核治疗</t>
  </si>
  <si>
    <t>0000862359（伍保胜）</t>
  </si>
  <si>
    <t>60岁</t>
  </si>
  <si>
    <t>B组/6-9Mfx-Lzd-Cs-Cfz-Z’</t>
  </si>
  <si>
    <t>0000860897(龚柯元)</t>
  </si>
  <si>
    <t>23岁</t>
  </si>
  <si>
    <t>B组/Lzd-Cfz-Cs-Mfx-Z</t>
  </si>
  <si>
    <t>（后因肢体麻木停用Lzd，由于失眠、焦虑、情绪低落，停用环丝氨酸，退出随机撤药实验）</t>
  </si>
  <si>
    <t>0000859184(何建生)</t>
  </si>
  <si>
    <t>66岁</t>
  </si>
  <si>
    <t>2023.5.10</t>
  </si>
  <si>
    <t>2024.8月自行停用结核药</t>
  </si>
  <si>
    <t>2024.8月自行停用结核药，2024.11.12重启抗结核治疗 ，2025.12.19患者临床死亡</t>
  </si>
  <si>
    <t>0000858068（刘德明）</t>
  </si>
  <si>
    <t>52岁</t>
  </si>
  <si>
    <t>2023.4.29</t>
  </si>
  <si>
    <t>患者最后一次至我院复诊，后续未在我院复诊，不知治疗结束日期</t>
  </si>
  <si>
    <t>0000855626（唐天彪）</t>
  </si>
  <si>
    <t>54岁</t>
  </si>
  <si>
    <t>2023.4.14</t>
  </si>
  <si>
    <t>2023.8.29患者最后一次至我院复诊，后续未在我院复诊，不知治疗结束日期</t>
  </si>
  <si>
    <t>0000854044（张秀芬）</t>
  </si>
  <si>
    <t>B组/6Mfx-Lzd-Cfz-Cs-Z</t>
  </si>
  <si>
    <t xml:space="preserve">阳性 </t>
  </si>
  <si>
    <t>2023.5.15患者最后一次至我院复诊，后续未在我院复诊，不知治疗结束日期</t>
  </si>
  <si>
    <t>0000855263（李秋勘）</t>
  </si>
  <si>
    <t>62岁</t>
  </si>
  <si>
    <t>2023.4.11</t>
  </si>
  <si>
    <t>2023.12.19患者最后一次至我院复诊，后续未在我院复诊，不知治疗结束日期</t>
  </si>
  <si>
    <t>0000849580（杨宛仪）</t>
  </si>
  <si>
    <t>29岁</t>
  </si>
  <si>
    <t>C组/9~12BDQ-Lzd-Cs-Cfz-Z。</t>
  </si>
  <si>
    <t>2023-4-4</t>
  </si>
  <si>
    <t>0000853171（杨成林）</t>
  </si>
  <si>
    <t>41岁</t>
  </si>
  <si>
    <t>2023-3-22</t>
  </si>
  <si>
    <t>0000799059（武卫平）</t>
  </si>
  <si>
    <t>34岁</t>
  </si>
  <si>
    <t>A组/Bdq-Cs-Lzd-Mfx</t>
  </si>
  <si>
    <t>0000813982（聂桂兰）</t>
  </si>
  <si>
    <t>31岁</t>
  </si>
  <si>
    <t>B组/6-9Mfx-Lzd-Cfz-Cs-Z。</t>
  </si>
  <si>
    <t>2023.5月（患者因恶心、纳差明显，自行停用结核药）</t>
  </si>
  <si>
    <t>0000849458（杨喜安）</t>
  </si>
  <si>
    <t>59岁</t>
  </si>
  <si>
    <t>2023.2.25</t>
  </si>
  <si>
    <t>2024.3.12患者最后一次至我院复诊，后续未在我院复诊，不知治疗结束日期</t>
  </si>
  <si>
    <t>0000832482（梁圆）</t>
  </si>
  <si>
    <t>32岁</t>
  </si>
  <si>
    <t>B组/9-12Lzd-Cs-Cfz-Mfx-Z</t>
  </si>
  <si>
    <t>阳性（为非结核分枝杆菌生长）</t>
  </si>
  <si>
    <t>痰培养：阳性（为非结核分枝杆菌生长）</t>
  </si>
  <si>
    <t>0000849019（张世强）</t>
  </si>
  <si>
    <t>61岁</t>
  </si>
  <si>
    <t>C组/Bdq-Lzd-Cfz-Cs-Z</t>
  </si>
  <si>
    <t>2023.2.28</t>
  </si>
  <si>
    <t>2023.9.26复诊复查，病程记录：因肝功能受损停用Z，病人要求退出科研组。</t>
  </si>
  <si>
    <t>0000772783（余里春）</t>
  </si>
  <si>
    <t>57岁</t>
  </si>
  <si>
    <t>B组/Mfx-LZD-CFZ-CS-Z</t>
  </si>
  <si>
    <t>0000852389（黄平发）</t>
  </si>
  <si>
    <t>51岁</t>
  </si>
  <si>
    <t>C组/9Bdq-Lzd-Cs-Cfz-Z</t>
  </si>
  <si>
    <t>2024.3月患者死亡</t>
  </si>
  <si>
    <t>患者死亡</t>
  </si>
  <si>
    <t>0000848895（陈拉）</t>
  </si>
  <si>
    <t>21岁</t>
  </si>
  <si>
    <t>B组/Mfx-Lzd-Cfz-Cs-Z</t>
  </si>
  <si>
    <t>南宁四院</t>
  </si>
  <si>
    <t>潘永前</t>
  </si>
  <si>
    <t>黄姆裕</t>
  </si>
  <si>
    <t>吴海峰</t>
  </si>
  <si>
    <t>刘秀荣</t>
  </si>
  <si>
    <t>杨诚</t>
  </si>
  <si>
    <t>韦石经</t>
  </si>
  <si>
    <t>曾克云</t>
  </si>
  <si>
    <t>覃翠林</t>
  </si>
  <si>
    <t>谈振鹏</t>
  </si>
  <si>
    <t>朱小宾</t>
  </si>
  <si>
    <t>陆荣会</t>
  </si>
  <si>
    <t>李知洪</t>
  </si>
  <si>
    <t>覃颖姗</t>
  </si>
  <si>
    <t>李海清</t>
  </si>
  <si>
    <t>陈明生</t>
  </si>
  <si>
    <t>吴扬坤</t>
  </si>
  <si>
    <t>黄昭权</t>
  </si>
  <si>
    <t>姜开洋</t>
  </si>
  <si>
    <t>戴柳思</t>
  </si>
  <si>
    <t>余恒金</t>
  </si>
  <si>
    <t>劳福绍</t>
  </si>
  <si>
    <t>赣州市第五人民医院</t>
  </si>
  <si>
    <t>赖厚辉</t>
  </si>
  <si>
    <t>钟丽峰</t>
  </si>
  <si>
    <t>潘俊旺</t>
  </si>
  <si>
    <t>刘地福</t>
  </si>
  <si>
    <t>肖三娣</t>
  </si>
  <si>
    <t>李伙昌</t>
  </si>
  <si>
    <t>吴治林</t>
  </si>
  <si>
    <t>黄德军</t>
  </si>
  <si>
    <t>钟龙牙</t>
  </si>
  <si>
    <t>廖家玉</t>
  </si>
  <si>
    <t>温秀林</t>
  </si>
  <si>
    <t>邓桂荣</t>
  </si>
  <si>
    <t>刘光祥</t>
  </si>
  <si>
    <t>钟慧</t>
  </si>
  <si>
    <t>余梅英</t>
  </si>
  <si>
    <t>宋才发</t>
  </si>
  <si>
    <t>邓秀英</t>
  </si>
  <si>
    <t>肖作祯</t>
  </si>
  <si>
    <t>20223-1-17</t>
  </si>
  <si>
    <t>刘事有</t>
  </si>
  <si>
    <t>赖晓华</t>
  </si>
  <si>
    <t>李琼琼</t>
  </si>
  <si>
    <t>刘晨福</t>
  </si>
  <si>
    <t>林云皓</t>
  </si>
  <si>
    <t>黄向东</t>
  </si>
  <si>
    <t>陈和进</t>
  </si>
  <si>
    <t>刘采会</t>
  </si>
  <si>
    <t>黎伦荣</t>
  </si>
  <si>
    <t>李锦春</t>
  </si>
  <si>
    <t>安徽省胸科医院</t>
  </si>
  <si>
    <t>1240022</t>
  </si>
  <si>
    <t>E/9Bdq-Lzd-Cfz-Cs-Z/10Lzd-Cfz-Cs-Z</t>
  </si>
  <si>
    <t>1240021</t>
  </si>
  <si>
    <t>E/6Bdq-Lfx-Lzd-Cs-Z/12Lfx-Lzd-Cs-Z</t>
  </si>
  <si>
    <t>1240020</t>
  </si>
  <si>
    <t>E/6Bdq-Dlm-Lzd-Cs-Z/3Bdq-Cs-Z/1Lzd-Cs-Z/2Lzd-Cs-Cfz-Z/6Lzd-Cs-Z</t>
  </si>
  <si>
    <t>1240019</t>
  </si>
  <si>
    <t>E/12Lfx-Lzd-Cfz-Cs-Z/3Lfx-Lzd-Dlm-Cs-Z/5Lfx-Lzd-Cfz-Cs-Z</t>
  </si>
  <si>
    <t>1240018</t>
  </si>
  <si>
    <t>E/8Lfx-Lzd-Cfz-Cs-Z/11.5Lfx-Cfz-Cs-Z</t>
  </si>
  <si>
    <t>1240017</t>
  </si>
  <si>
    <t>E/9Bdq-Lfx-Lzd-Cfz-Cs/10.5Lfx-Cfz-Cs</t>
  </si>
  <si>
    <t>1240016</t>
  </si>
  <si>
    <t>E/6Bdq-Dlm-Lzd-Cs-Pto/6Bdq-Lzd-Cs-Pto/6Lzd-Cs-Pto</t>
  </si>
  <si>
    <t>1240015</t>
  </si>
  <si>
    <t>E/3Lfx-Lzd-Cfz-Cs-Pto/12Lfx-Bdq-Lzd-Cfz-Cs/4Lfx-Cfz-Cs</t>
  </si>
  <si>
    <t>1240014</t>
  </si>
  <si>
    <t>E/Lfx-Lzd-Cfz-Cs-Z</t>
  </si>
  <si>
    <t>1240013</t>
  </si>
  <si>
    <t>E/12Bdq-Lzd-Cfz-Cs-Pto/7Lzd-Cfz-Cs-Pto</t>
  </si>
  <si>
    <t>1240012</t>
  </si>
  <si>
    <t>E/Bdq-Lzd-Cfz-Cs-Pto</t>
  </si>
  <si>
    <t>1240011</t>
  </si>
  <si>
    <t>E/2Lfx-Lzd-Cfz-Cs-Z/2Lfx-Lzd-Cfz-Cs-Pto/15.5Lfx-Lzd-Cfz-Cs</t>
  </si>
  <si>
    <t>1240010</t>
  </si>
  <si>
    <t>E/12Bdq-Lzd-Cfz-Cs-Z/4Lzd-Cfz-Cs-Z/5Lfx-Lzd-Cfz-Cs-Z</t>
  </si>
  <si>
    <t>1240009</t>
  </si>
  <si>
    <t>E/2Lfx-Lzd-Cfz-Cs-Pto/2Lfx-Lzd-Cfz-Pto/2Lfx-Lzd-Cfz/6Bdq-Lfx-Lzd-Cfz</t>
  </si>
  <si>
    <t>1240008</t>
  </si>
  <si>
    <t>E/6Bdq-Lfx-Lzd-Cs-Dlm/5Bdq-Lfx-Lzd-Cs/9Lfx-Lzd-Cs</t>
  </si>
  <si>
    <t>1240007</t>
  </si>
  <si>
    <t>E/1Lfx-Lzd-Cfz-Cs-Pto/10Bdq-Lzd-Cfz-Cs-Pto/1Bdq-Cfz-Cs/6Lfx-Cfz-Cs</t>
  </si>
  <si>
    <t>1240006</t>
  </si>
  <si>
    <t>E/5Lzd-Cfz-Cs-Am/12Bdq-Lzd-Cfz-Cs/3Lzd-Cfz-Cs</t>
  </si>
  <si>
    <t>1240005</t>
  </si>
  <si>
    <t>E/13.5Lfx-Lzd-Cfz-Cs-Z/4.5Lfx-Cfz-Cs-Z</t>
  </si>
  <si>
    <t>1240004</t>
  </si>
  <si>
    <t>E/2Bdq-Lzd-Cfz-Cs-Pto/6Bdq-Lzd-Cfz-Am/1Bdq-Lzd-Cfz/3Bdq-Lzd-Cfz-Z/6Dlm-Pto-Z-Pa(帕司烟肼)</t>
  </si>
  <si>
    <t>1240003</t>
  </si>
  <si>
    <t>E/1Mfx-Lzd-Cfz-Cs-Pto/6Bdq-Lzd-Cfz-Cs-Pto-Am/2Bdq-Lzd-Cfz-Cs-Pto/3Lzd-Cfz-Cs-Pto</t>
  </si>
  <si>
    <t>1240002</t>
  </si>
  <si>
    <t>E/9Bdq-Lfx-Lzd-Cfz-Cs/10.5Lfx-Lzd-Cfz-Cs</t>
  </si>
  <si>
    <t>1240001</t>
  </si>
  <si>
    <t>A/6Mfx-Bdq-Lzd-Cs</t>
  </si>
  <si>
    <t>梧州市第三人民医院</t>
  </si>
  <si>
    <t>A（6-9Bdq-Lzd-Mfx-Cs）</t>
  </si>
  <si>
    <t>结果未回</t>
  </si>
  <si>
    <t>C（6-9Bdq-Lzd-Cs-Cfz-Z）</t>
  </si>
  <si>
    <t>外地复诊了</t>
  </si>
  <si>
    <t>马尔尼菲蓝头菌真菌感染</t>
  </si>
  <si>
    <t>D（Lzd-Cs-Cfz-Z-SASP）</t>
  </si>
  <si>
    <t>阴性（1年半时复诊）</t>
  </si>
  <si>
    <t>曲霉菌感染（停药1年半）</t>
  </si>
  <si>
    <t>第5个月失访</t>
  </si>
  <si>
    <t>陈发森</t>
  </si>
  <si>
    <t>B（6-9Lzd-Mfx-Cs-Cfz-E）</t>
  </si>
  <si>
    <t>陈敏敏</t>
  </si>
  <si>
    <t>疗程未结束</t>
  </si>
  <si>
    <t>宋焕文</t>
  </si>
  <si>
    <t>D（Lzd-Cs-Cfz-Z-SASP）、2025-1-6因Z过敏调整为Pto，后证实Lzd过敏，过敏好转后调整为Lzd-Cs-Cfz-Pto-SASP（Lzd减半使用）</t>
  </si>
  <si>
    <t>贵阳市公共卫生救治中心</t>
  </si>
  <si>
    <t>冯建康</t>
  </si>
  <si>
    <t>16岁</t>
  </si>
  <si>
    <t xml:space="preserve">             无</t>
  </si>
  <si>
    <t>刘勇</t>
  </si>
  <si>
    <t>43岁</t>
  </si>
  <si>
    <t>吴与伦</t>
  </si>
  <si>
    <t>67岁</t>
  </si>
  <si>
    <t>岳朝碧</t>
  </si>
  <si>
    <t>25岁</t>
  </si>
  <si>
    <t>张鹏</t>
  </si>
  <si>
    <t>24岁</t>
  </si>
  <si>
    <t>徐卫东</t>
  </si>
  <si>
    <t>33岁</t>
  </si>
  <si>
    <t>李兴萍</t>
  </si>
  <si>
    <t>李顺琴</t>
  </si>
  <si>
    <t>杨许伦</t>
  </si>
  <si>
    <t>36岁</t>
  </si>
  <si>
    <t>王波</t>
  </si>
  <si>
    <r>
      <rPr>
        <sz val="11"/>
        <color rgb="FF0000FF"/>
        <rFont val="Calibri"/>
        <charset val="134"/>
        <scheme val="minor"/>
      </rPr>
      <t>2023.8.23</t>
    </r>
    <r>
      <rPr>
        <sz val="11"/>
        <color rgb="FFFF0000"/>
        <rFont val="Calibri"/>
        <charset val="134"/>
        <scheme val="minor"/>
      </rPr>
      <t>（退组）</t>
    </r>
  </si>
  <si>
    <t>不详</t>
  </si>
  <si>
    <t>胡晴</t>
  </si>
  <si>
    <t>陈小珍</t>
  </si>
  <si>
    <t>64岁</t>
  </si>
  <si>
    <t>东莞六院</t>
  </si>
  <si>
    <t>陆秀传</t>
  </si>
  <si>
    <t>朱慧格</t>
  </si>
  <si>
    <t>李计创</t>
  </si>
  <si>
    <t>王玉林</t>
  </si>
  <si>
    <t>覃先平</t>
  </si>
  <si>
    <t>未</t>
  </si>
  <si>
    <t>易仕林</t>
  </si>
  <si>
    <t>梁妹仔</t>
  </si>
  <si>
    <t>温德权</t>
  </si>
  <si>
    <t>周淦泉</t>
  </si>
  <si>
    <t>徐宇飞</t>
  </si>
  <si>
    <t>黑龙江省结核病防治院</t>
  </si>
  <si>
    <t>仲丛博</t>
  </si>
  <si>
    <t>2024.03.04</t>
  </si>
  <si>
    <t>2024年7月后无复查</t>
  </si>
  <si>
    <t>刘建勋</t>
  </si>
  <si>
    <t>2024.04.12</t>
  </si>
  <si>
    <t>后无培养，26年01月来院住院培养阳性</t>
  </si>
  <si>
    <t>张远伟</t>
  </si>
  <si>
    <t>2024.04.25</t>
  </si>
  <si>
    <t>后续随访全部为阴性</t>
  </si>
  <si>
    <t>吴立华</t>
  </si>
  <si>
    <t>2024.01.10</t>
  </si>
  <si>
    <t>2025.10月后无随访，之前全部为阴性</t>
  </si>
  <si>
    <t>唐德礼</t>
  </si>
  <si>
    <t>2023.12.10</t>
  </si>
  <si>
    <t>2024.03阴转后无复查</t>
  </si>
  <si>
    <t>张金富</t>
  </si>
  <si>
    <t>2023.11.10</t>
  </si>
  <si>
    <t>2024.02月后无复查</t>
  </si>
  <si>
    <t>张树彬</t>
  </si>
  <si>
    <t>2023.11.15</t>
  </si>
  <si>
    <t>2025.04月后无复查</t>
  </si>
  <si>
    <t>王滨</t>
  </si>
  <si>
    <t>2023.04.24</t>
  </si>
  <si>
    <t>2024.07月培养仍阳性</t>
  </si>
  <si>
    <t>有，痰菌始终阳性</t>
  </si>
  <si>
    <t>刘东</t>
  </si>
  <si>
    <t>2022.11.01</t>
  </si>
  <si>
    <t>2023.07月后无复查</t>
  </si>
  <si>
    <t>武惠强</t>
  </si>
  <si>
    <t>2022.09.10</t>
  </si>
  <si>
    <t>2023.05月后无复查</t>
  </si>
  <si>
    <t>车云飞</t>
  </si>
  <si>
    <t>2022.09.28</t>
  </si>
  <si>
    <t>2022.10月后无复查</t>
  </si>
  <si>
    <t>昆明市第三人民医院</t>
  </si>
  <si>
    <t>ZQK</t>
  </si>
  <si>
    <t>38岁</t>
  </si>
  <si>
    <t>缺</t>
  </si>
  <si>
    <t>时间不到</t>
  </si>
  <si>
    <t>210(患者2月18日-3月18日)自行停药1月</t>
  </si>
  <si>
    <t>HWH</t>
  </si>
  <si>
    <t>120左右(患者自行停药,随访电话不接)失访</t>
  </si>
  <si>
    <t>HWH(第二次入组）</t>
  </si>
  <si>
    <t>SC</t>
  </si>
  <si>
    <t>ZLS</t>
  </si>
  <si>
    <t>DGP</t>
  </si>
  <si>
    <t>22岁</t>
  </si>
  <si>
    <t>未回</t>
  </si>
  <si>
    <t>退出注：患者因肝损害停药1个月，最后2个药，自行减量吃了3个多月。</t>
  </si>
  <si>
    <t>WYF</t>
  </si>
  <si>
    <t>YN</t>
  </si>
  <si>
    <t>28岁</t>
  </si>
  <si>
    <t>昆明市</t>
  </si>
  <si>
    <t>LL</t>
  </si>
  <si>
    <t>未停药</t>
  </si>
  <si>
    <t>北海结核病防治院</t>
  </si>
  <si>
    <t>S1240001</t>
  </si>
  <si>
    <t>2025.01.13</t>
  </si>
  <si>
    <t>S1240002</t>
  </si>
  <si>
    <t>2025.02.26</t>
  </si>
  <si>
    <t>S1240003</t>
  </si>
  <si>
    <t>2025.03.24</t>
  </si>
  <si>
    <t>S1240004</t>
  </si>
  <si>
    <t>2025.05.31</t>
  </si>
  <si>
    <t>是（复查胸部CT病灶进展）。但患者无症状加重，痰检阴性。</t>
  </si>
  <si>
    <t>S1240005</t>
  </si>
  <si>
    <t>2025.06.06</t>
  </si>
  <si>
    <t>江西省胸科医院</t>
  </si>
  <si>
    <t>谭胜利</t>
  </si>
  <si>
    <t>A组 BdqLzdMfxCs</t>
  </si>
  <si>
    <t>刘军</t>
  </si>
  <si>
    <t>熊建华</t>
  </si>
  <si>
    <t>B组 LzdCsCfzMfxZ</t>
  </si>
  <si>
    <t>余军军</t>
  </si>
  <si>
    <t>龙礼成</t>
  </si>
  <si>
    <t>脱落</t>
  </si>
  <si>
    <t>新乡医学院第一附属医院</t>
  </si>
  <si>
    <t>王中福</t>
  </si>
  <si>
    <t>D组 利奈唑胺、环丝氨酸、氯法齐明、吡嗪酰胺、柳氮磺吡啶</t>
  </si>
  <si>
    <t>冯新刚</t>
  </si>
  <si>
    <t>吴凯超</t>
  </si>
  <si>
    <t>珠海市第三人民医院</t>
  </si>
  <si>
    <t>陈国秀</t>
  </si>
  <si>
    <t>44岁</t>
  </si>
  <si>
    <t>郑州市第六人民医院</t>
  </si>
  <si>
    <t>王定军</t>
  </si>
  <si>
    <t>胡旭航</t>
  </si>
  <si>
    <t>26岁</t>
  </si>
  <si>
    <t>患者依从性差，且反复肝损害</t>
  </si>
  <si>
    <t>张晨雨</t>
  </si>
  <si>
    <t>尚未回示</t>
  </si>
  <si>
    <t>毛香珍</t>
  </si>
  <si>
    <t>53岁</t>
  </si>
  <si>
    <t>王阿康</t>
  </si>
  <si>
    <t>患者因经济原因退组</t>
  </si>
  <si>
    <t>李克钦</t>
  </si>
  <si>
    <t>孙爱珍</t>
  </si>
  <si>
    <t>65岁</t>
  </si>
  <si>
    <t>D9</t>
  </si>
  <si>
    <t>马金廷</t>
  </si>
  <si>
    <t>68岁</t>
  </si>
  <si>
    <t>樊福东</t>
  </si>
  <si>
    <t>吕方</t>
  </si>
  <si>
    <t>九江三院</t>
  </si>
  <si>
    <t>LMLI</t>
  </si>
  <si>
    <t>CsECfzMfx</t>
  </si>
  <si>
    <t>患者依从性差</t>
  </si>
  <si>
    <t>BHTA</t>
  </si>
  <si>
    <t>BdqDimLzdCfz</t>
  </si>
  <si>
    <t>CAHA</t>
  </si>
  <si>
    <t>LzdPtoCsZMfx</t>
  </si>
  <si>
    <t>中大五院</t>
  </si>
  <si>
    <t>伏光强</t>
  </si>
  <si>
    <t>57</t>
  </si>
  <si>
    <t>孙宇龙</t>
  </si>
  <si>
    <t>闫佳阳</t>
  </si>
  <si>
    <t>姚炳洪</t>
  </si>
  <si>
    <t>谢吉孝</t>
  </si>
  <si>
    <t>52</t>
  </si>
  <si>
    <t>E组</t>
  </si>
  <si>
    <t>张大汉</t>
  </si>
  <si>
    <t>71</t>
  </si>
  <si>
    <t>江红</t>
  </si>
  <si>
    <t>陈晓东</t>
  </si>
  <si>
    <t>吴国和</t>
  </si>
  <si>
    <t>53</t>
  </si>
  <si>
    <t>谭焕铮</t>
  </si>
  <si>
    <t>谢乔山</t>
  </si>
  <si>
    <t>变量名（列）</t>
  </si>
  <si>
    <t>字段（中文）</t>
  </si>
  <si>
    <t>类型</t>
  </si>
  <si>
    <t>必填</t>
  </si>
  <si>
    <t>取值/单位</t>
  </si>
  <si>
    <t>说明（与摘要用途）</t>
  </si>
  <si>
    <t>文本/分类</t>
  </si>
  <si>
    <t/>
  </si>
  <si>
    <t>A，B，C，D</t>
  </si>
  <si>
    <t>摘要关键有效性指标/分母</t>
  </si>
  <si>
    <t>日期</t>
  </si>
  <si>
    <t>F</t>
  </si>
  <si>
    <t>G</t>
  </si>
  <si>
    <t>H</t>
  </si>
  <si>
    <t>数值</t>
  </si>
  <si>
    <t>自动计算</t>
  </si>
  <si>
    <t>自动衍生变量</t>
  </si>
  <si>
    <t>I</t>
  </si>
  <si>
    <t>ITT；mITT；PP</t>
  </si>
  <si>
    <t>J</t>
  </si>
  <si>
    <t>DS-TB；Hr-TB；RR-TB；MDR-TB；pre-XDR-TB；XDR-TB；未知</t>
  </si>
  <si>
    <t>人群与异质性描述</t>
  </si>
  <si>
    <t>K</t>
  </si>
  <si>
    <t>肺结核；肺外结核；混合；未知</t>
  </si>
  <si>
    <t>L</t>
  </si>
  <si>
    <t>是；否</t>
  </si>
  <si>
    <t>M</t>
  </si>
  <si>
    <t>阴性；阳性；污染；未做</t>
  </si>
  <si>
    <t>N</t>
  </si>
  <si>
    <t>O</t>
  </si>
  <si>
    <t>男；女；其他/未知</t>
  </si>
  <si>
    <t>P</t>
  </si>
  <si>
    <t>Q</t>
  </si>
  <si>
    <t>R</t>
  </si>
  <si>
    <t>S</t>
  </si>
  <si>
    <t>阴性；阳性；未知</t>
  </si>
  <si>
    <t>T</t>
  </si>
  <si>
    <t>是；否；未知</t>
  </si>
  <si>
    <t>U</t>
  </si>
  <si>
    <t>有；无；未知</t>
  </si>
  <si>
    <t>V</t>
  </si>
  <si>
    <t>W</t>
  </si>
  <si>
    <t>Month 2培养</t>
  </si>
  <si>
    <t>X</t>
  </si>
  <si>
    <t>EOT培养</t>
  </si>
  <si>
    <t>Y</t>
  </si>
  <si>
    <t>治疗后12月培养</t>
  </si>
  <si>
    <t>Z</t>
  </si>
  <si>
    <t>12月主要结局：不良（Unfavorable）</t>
  </si>
  <si>
    <t>AA</t>
  </si>
  <si>
    <t>不良结局构成</t>
  </si>
  <si>
    <t>无；治疗失败；复发；死亡；失访/脱落；退出；其他</t>
  </si>
  <si>
    <t>AB</t>
  </si>
  <si>
    <t>治愈；完成；失败；复发；死亡；失访/脱落；不可评估</t>
  </si>
  <si>
    <t>AC</t>
  </si>
  <si>
    <t>AD</t>
  </si>
  <si>
    <t>AE</t>
  </si>
  <si>
    <t>摘要安全性概览</t>
  </si>
  <si>
    <t>AF</t>
  </si>
  <si>
    <t>AG</t>
  </si>
  <si>
    <t>AH</t>
  </si>
  <si>
    <t>AI</t>
  </si>
  <si>
    <t>AJ</t>
  </si>
  <si>
    <t>是；否；未测</t>
  </si>
  <si>
    <t>AK</t>
  </si>
  <si>
    <t>AL</t>
  </si>
  <si>
    <t>0；1；2；3；4；未评估</t>
  </si>
  <si>
    <t>AM</t>
  </si>
  <si>
    <t>AN</t>
  </si>
  <si>
    <t>AO</t>
  </si>
  <si>
    <t>N（所有入组）</t>
  </si>
  <si>
    <t>Week 8培养阴性率（NEG / evaluable）</t>
  </si>
  <si>
    <t>Month 2培养阴性率（NEG / evaluable）</t>
  </si>
  <si>
    <t>EOT培养阴性率（NEG / evaluable）</t>
  </si>
  <si>
    <t>治疗后12月：不良结局率（Unfavorable）</t>
  </si>
  <si>
    <t>治疗成功率（治愈+完成）</t>
  </si>
  <si>
    <t>12月复发率（在可评估者中）</t>
  </si>
  <si>
    <t>≥3级AE比例</t>
  </si>
  <si>
    <t>SAE比例</t>
  </si>
  <si>
    <t>因AE停药比例</t>
  </si>
  <si>
    <t>死亡比例</t>
  </si>
  <si>
    <t>不良结局构成：失败</t>
  </si>
  <si>
    <t>不良结局构成：复发</t>
  </si>
  <si>
    <t>不良结局构成：失访/脱落</t>
  </si>
  <si>
    <t>不良结局构成：死亡</t>
  </si>
  <si>
    <t>不良结局构成：退出</t>
  </si>
  <si>
    <t>不良结局构成：其他</t>
  </si>
  <si>
    <t>在A列填入各组方案名称（需与“逐例数据录入”表D列完全一致），其余列自动汇总。</t>
  </si>
  <si>
    <t>用途：用于Union大会摘要投稿的“最小数据集”（有效性为主 + 少量安全性概览）。</t>
  </si>
  <si>
    <t>步骤：①在“逐例数据录入”逐条录入（浅黄色建议必填；灰色为自动计算；蓝色字体为手工录入）→ ②在“摘要自动汇总”A列填入各组名称（需与逐例表D列一致）→ ③自动得到各组关键指标。</t>
  </si>
  <si>
    <t>有效性口径：培养汇总默认以（阴性+阳性）作为evaluable分母，自动忽略“污染/未做”。</t>
  </si>
  <si>
    <t>主要终点：默认按“治疗后12月不良结局（Unfavorable）及其构成”。如你的方案使用18月或其他复合终点，可在逐例表新增字段并在汇总表复制同类公式。</t>
  </si>
  <si>
    <t>安全性最小口径：任意SAE、任意≥3级AE、因AE停药、死亡。可选栏用于QT/肝毒性/神经毒性等AESI。</t>
  </si>
  <si>
    <t>容量：逐例表预留 300 行（可按需要自行向下复制格式/公式）。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</si>
</sst>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yyyy\-mm\-dd"/>
    <numFmt numFmtId="178" formatCode="0.0"/>
    <numFmt numFmtId="179" formatCode="yyyy/mm/dd"/>
  </numFmts>
  <fonts count="37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1F4E79"/>
      <name val="Calibri"/>
      <charset val="134"/>
      <scheme val="minor"/>
    </font>
    <font>
      <sz val="11"/>
      <color rgb="FF0000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FF"/>
      <name val="宋体"/>
      <charset val="134"/>
    </font>
    <font>
      <sz val="11"/>
      <color rgb="FF0000FF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rgb="FF0000FF"/>
      <name val="微软雅黑"/>
      <charset val="134"/>
    </font>
    <font>
      <sz val="11"/>
      <color rgb="FF0000FF"/>
      <name val="书宋-简"/>
      <charset val="134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宋体"/>
      <charset val="134"/>
    </font>
    <font>
      <sz val="11"/>
      <color rgb="FFFF0000"/>
      <name val="Calibri"/>
      <charset val="134"/>
    </font>
    <font>
      <sz val="11"/>
      <color rgb="FF000000"/>
      <name val="微软雅黑"/>
      <charset val="134"/>
    </font>
    <font>
      <sz val="11"/>
      <color indexed="8"/>
      <name val="Calibri"/>
      <charset val="134"/>
      <scheme val="minor"/>
    </font>
    <font>
      <sz val="11"/>
      <color rgb="FF00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11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0" fillId="0" borderId="0"/>
  </cellStyleXfs>
  <cellXfs count="84">
    <xf numFmtId="0" fontId="0" fillId="0" borderId="0" xfId="49"/>
    <xf numFmtId="0" fontId="1" fillId="0" borderId="0" xfId="49" applyFont="1" applyAlignment="1">
      <alignment horizontal="left" vertical="center" wrapText="1"/>
    </xf>
    <xf numFmtId="0" fontId="2" fillId="2" borderId="1" xfId="49" applyFont="1" applyFill="1" applyBorder="1" applyAlignment="1">
      <alignment horizontal="center" vertical="center" wrapText="1"/>
    </xf>
    <xf numFmtId="0" fontId="3" fillId="3" borderId="0" xfId="49" applyFont="1" applyFill="1" applyAlignment="1">
      <alignment horizontal="left" vertical="center" wrapText="1"/>
    </xf>
    <xf numFmtId="0" fontId="4" fillId="4" borderId="1" xfId="49" applyFont="1" applyFill="1" applyBorder="1" applyAlignment="1">
      <alignment horizontal="left" vertical="center" wrapText="1"/>
    </xf>
    <xf numFmtId="1" fontId="1" fillId="0" borderId="1" xfId="49" applyNumberFormat="1" applyFont="1" applyBorder="1" applyAlignment="1">
      <alignment horizontal="center" vertical="center" wrapText="1"/>
    </xf>
    <xf numFmtId="176" fontId="1" fillId="0" borderId="1" xfId="49" applyNumberFormat="1" applyFont="1" applyBorder="1" applyAlignment="1">
      <alignment horizontal="center" vertical="center" wrapText="1"/>
    </xf>
    <xf numFmtId="0" fontId="0" fillId="0" borderId="1" xfId="49" applyBorder="1" applyAlignment="1">
      <alignment horizontal="center" vertical="center" wrapText="1"/>
    </xf>
    <xf numFmtId="0" fontId="0" fillId="0" borderId="1" xfId="49" applyBorder="1" applyAlignment="1">
      <alignment horizontal="left" vertical="center" wrapText="1"/>
    </xf>
    <xf numFmtId="0" fontId="0" fillId="0" borderId="0" xfId="49" applyAlignment="1">
      <alignment horizontal="left"/>
    </xf>
    <xf numFmtId="0" fontId="0" fillId="5" borderId="0" xfId="49" applyFill="1" applyAlignment="1">
      <alignment horizontal="left"/>
    </xf>
    <xf numFmtId="0" fontId="0" fillId="0" borderId="2" xfId="49" applyBorder="1" applyAlignment="1">
      <alignment horizontal="left"/>
    </xf>
    <xf numFmtId="0" fontId="2" fillId="2" borderId="1" xfId="49" applyFont="1" applyFill="1" applyBorder="1" applyAlignment="1">
      <alignment horizontal="left" vertical="center" wrapText="1"/>
    </xf>
    <xf numFmtId="0" fontId="5" fillId="4" borderId="3" xfId="49" applyFont="1" applyFill="1" applyBorder="1" applyAlignment="1">
      <alignment horizontal="left" vertical="center" wrapText="1"/>
    </xf>
    <xf numFmtId="0" fontId="2" fillId="2" borderId="3" xfId="49" applyFont="1" applyFill="1" applyBorder="1" applyAlignment="1">
      <alignment horizontal="left" vertical="center" wrapText="1"/>
    </xf>
    <xf numFmtId="0" fontId="5" fillId="4" borderId="1" xfId="49" applyFont="1" applyFill="1" applyBorder="1" applyAlignment="1">
      <alignment horizontal="left" vertical="center" wrapText="1"/>
    </xf>
    <xf numFmtId="0" fontId="2" fillId="2" borderId="4" xfId="49" applyFont="1" applyFill="1" applyBorder="1" applyAlignment="1">
      <alignment horizontal="left" vertical="center" wrapText="1"/>
    </xf>
    <xf numFmtId="0" fontId="6" fillId="0" borderId="4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177" fontId="4" fillId="4" borderId="1" xfId="49" applyNumberFormat="1" applyFont="1" applyFill="1" applyBorder="1" applyAlignment="1">
      <alignment horizontal="left" vertical="center" wrapText="1"/>
    </xf>
    <xf numFmtId="1" fontId="8" fillId="6" borderId="5" xfId="49" applyNumberFormat="1" applyFont="1" applyFill="1" applyBorder="1" applyAlignment="1">
      <alignment horizontal="left" vertical="center" wrapText="1"/>
    </xf>
    <xf numFmtId="0" fontId="7" fillId="4" borderId="1" xfId="49" applyFont="1" applyFill="1" applyBorder="1" applyAlignment="1">
      <alignment horizontal="left" vertical="center" wrapText="1"/>
    </xf>
    <xf numFmtId="0" fontId="7" fillId="0" borderId="1" xfId="49" applyFont="1" applyBorder="1" applyAlignment="1">
      <alignment horizontal="left" vertical="center" wrapText="1"/>
    </xf>
    <xf numFmtId="178" fontId="7" fillId="4" borderId="1" xfId="49" applyNumberFormat="1" applyFont="1" applyFill="1" applyBorder="1" applyAlignment="1">
      <alignment horizontal="left" vertical="center" wrapText="1"/>
    </xf>
    <xf numFmtId="1" fontId="7" fillId="0" borderId="1" xfId="49" applyNumberFormat="1" applyFont="1" applyBorder="1" applyAlignment="1">
      <alignment horizontal="left" vertical="center" wrapText="1"/>
    </xf>
    <xf numFmtId="178" fontId="8" fillId="6" borderId="1" xfId="49" applyNumberFormat="1" applyFont="1" applyFill="1" applyBorder="1" applyAlignment="1">
      <alignment horizontal="left" vertical="center" wrapText="1"/>
    </xf>
    <xf numFmtId="0" fontId="9" fillId="0" borderId="2" xfId="49" applyFont="1" applyBorder="1" applyAlignment="1">
      <alignment horizontal="left"/>
    </xf>
    <xf numFmtId="178" fontId="7" fillId="0" borderId="4" xfId="49" applyNumberFormat="1" applyFont="1" applyBorder="1" applyAlignment="1">
      <alignment horizontal="left" vertical="center" wrapText="1"/>
    </xf>
    <xf numFmtId="0" fontId="9" fillId="0" borderId="0" xfId="49" applyFont="1" applyAlignment="1">
      <alignment horizontal="left"/>
    </xf>
    <xf numFmtId="0" fontId="8" fillId="0" borderId="2" xfId="49" applyFont="1" applyBorder="1" applyAlignment="1">
      <alignment horizontal="left"/>
    </xf>
    <xf numFmtId="14" fontId="8" fillId="0" borderId="0" xfId="0" applyNumberFormat="1" applyFont="1" applyAlignment="1">
      <alignment horizontal="left" vertical="center"/>
    </xf>
    <xf numFmtId="1" fontId="8" fillId="6" borderId="1" xfId="49" applyNumberFormat="1" applyFont="1" applyFill="1" applyBorder="1" applyAlignment="1">
      <alignment horizontal="left" vertical="center" wrapText="1"/>
    </xf>
    <xf numFmtId="177" fontId="7" fillId="4" borderId="1" xfId="49" applyNumberFormat="1" applyFont="1" applyFill="1" applyBorder="1" applyAlignment="1">
      <alignment horizontal="left" vertical="center" wrapText="1"/>
    </xf>
    <xf numFmtId="0" fontId="4" fillId="0" borderId="1" xfId="49" applyFont="1" applyBorder="1" applyAlignment="1">
      <alignment horizontal="left" vertical="center" wrapText="1"/>
    </xf>
    <xf numFmtId="1" fontId="1" fillId="6" borderId="1" xfId="49" applyNumberFormat="1" applyFont="1" applyFill="1" applyBorder="1" applyAlignment="1">
      <alignment horizontal="left" vertical="center" wrapText="1"/>
    </xf>
    <xf numFmtId="178" fontId="4" fillId="4" borderId="1" xfId="49" applyNumberFormat="1" applyFont="1" applyFill="1" applyBorder="1" applyAlignment="1">
      <alignment horizontal="left" vertical="center" wrapText="1"/>
    </xf>
    <xf numFmtId="1" fontId="4" fillId="0" borderId="1" xfId="49" applyNumberFormat="1" applyFont="1" applyBorder="1" applyAlignment="1">
      <alignment horizontal="left" vertical="center" wrapText="1"/>
    </xf>
    <xf numFmtId="178" fontId="1" fillId="6" borderId="1" xfId="49" applyNumberFormat="1" applyFont="1" applyFill="1" applyBorder="1" applyAlignment="1">
      <alignment horizontal="left" vertical="center" wrapText="1"/>
    </xf>
    <xf numFmtId="178" fontId="4" fillId="0" borderId="4" xfId="49" applyNumberFormat="1" applyFont="1" applyBorder="1" applyAlignment="1">
      <alignment horizontal="left" vertical="center" wrapText="1"/>
    </xf>
    <xf numFmtId="0" fontId="4" fillId="7" borderId="1" xfId="49" applyFont="1" applyFill="1" applyBorder="1" applyAlignment="1">
      <alignment horizontal="left" vertical="center" wrapText="1"/>
    </xf>
    <xf numFmtId="1" fontId="4" fillId="0" borderId="1" xfId="49" applyNumberFormat="1" applyFont="1" applyFill="1" applyBorder="1" applyAlignment="1">
      <alignment horizontal="left" vertical="center" wrapText="1"/>
    </xf>
    <xf numFmtId="0" fontId="4" fillId="0" borderId="1" xfId="49" applyFont="1" applyFill="1" applyBorder="1" applyAlignment="1">
      <alignment horizontal="left" vertical="center" wrapText="1"/>
    </xf>
    <xf numFmtId="0" fontId="10" fillId="4" borderId="1" xfId="49" applyFont="1" applyFill="1" applyBorder="1" applyAlignment="1">
      <alignment horizontal="left" vertical="center" wrapText="1"/>
    </xf>
    <xf numFmtId="0" fontId="10" fillId="7" borderId="1" xfId="49" applyFont="1" applyFill="1" applyBorder="1" applyAlignment="1">
      <alignment horizontal="left" vertical="center" wrapText="1"/>
    </xf>
    <xf numFmtId="1" fontId="4" fillId="4" borderId="1" xfId="49" applyNumberFormat="1" applyFont="1" applyFill="1" applyBorder="1" applyAlignment="1">
      <alignment horizontal="left" vertical="center" wrapText="1"/>
    </xf>
    <xf numFmtId="0" fontId="6" fillId="4" borderId="1" xfId="49" applyFont="1" applyFill="1" applyBorder="1" applyAlignment="1" applyProtection="1">
      <alignment horizontal="left" vertical="center" wrapText="1"/>
    </xf>
    <xf numFmtId="1" fontId="7" fillId="4" borderId="1" xfId="49" applyNumberFormat="1" applyFont="1" applyFill="1" applyBorder="1" applyAlignment="1" applyProtection="1">
      <alignment horizontal="left" vertical="center" wrapText="1"/>
    </xf>
    <xf numFmtId="0" fontId="7" fillId="4" borderId="1" xfId="49" applyFont="1" applyFill="1" applyBorder="1" applyAlignment="1" applyProtection="1">
      <alignment horizontal="left" vertical="center" wrapText="1"/>
    </xf>
    <xf numFmtId="0" fontId="7" fillId="0" borderId="1" xfId="49" applyFont="1" applyFill="1" applyBorder="1" applyAlignment="1" applyProtection="1">
      <alignment horizontal="left" vertical="center" wrapText="1"/>
    </xf>
    <xf numFmtId="177" fontId="7" fillId="4" borderId="1" xfId="49" applyNumberFormat="1" applyFont="1" applyFill="1" applyBorder="1" applyAlignment="1" applyProtection="1">
      <alignment horizontal="center" vertical="center" wrapText="1"/>
    </xf>
    <xf numFmtId="0" fontId="7" fillId="4" borderId="1" xfId="49" applyFont="1" applyFill="1" applyBorder="1" applyAlignment="1" applyProtection="1">
      <alignment horizontal="center" vertical="center" wrapText="1"/>
    </xf>
    <xf numFmtId="178" fontId="7" fillId="4" borderId="1" xfId="49" applyNumberFormat="1" applyFont="1" applyFill="1" applyBorder="1" applyAlignment="1" applyProtection="1">
      <alignment horizontal="center" vertical="center" wrapText="1"/>
    </xf>
    <xf numFmtId="1" fontId="7" fillId="0" borderId="1" xfId="49" applyNumberFormat="1" applyFont="1" applyFill="1" applyBorder="1" applyAlignment="1" applyProtection="1">
      <alignment horizontal="center" vertical="center" wrapText="1"/>
    </xf>
    <xf numFmtId="178" fontId="8" fillId="6" borderId="1" xfId="49" applyNumberFormat="1" applyFont="1" applyFill="1" applyBorder="1" applyAlignment="1" applyProtection="1">
      <alignment horizontal="center" vertical="center" wrapText="1"/>
    </xf>
    <xf numFmtId="0" fontId="7" fillId="0" borderId="1" xfId="49" applyFont="1" applyFill="1" applyBorder="1" applyAlignment="1" applyProtection="1">
      <alignment horizontal="center" vertical="center" wrapText="1"/>
    </xf>
    <xf numFmtId="0" fontId="7" fillId="8" borderId="1" xfId="49" applyFont="1" applyFill="1" applyBorder="1" applyAlignment="1" applyProtection="1">
      <alignment horizontal="center" vertical="center" wrapText="1"/>
    </xf>
    <xf numFmtId="0" fontId="11" fillId="4" borderId="1" xfId="49" applyFont="1" applyFill="1" applyBorder="1" applyAlignment="1" applyProtection="1">
      <alignment horizontal="left" vertical="center" wrapText="1"/>
    </xf>
    <xf numFmtId="0" fontId="11" fillId="4" borderId="1" xfId="49" applyFont="1" applyFill="1" applyBorder="1" applyAlignment="1" applyProtection="1">
      <alignment horizontal="center" vertical="center" wrapText="1"/>
    </xf>
    <xf numFmtId="0" fontId="11" fillId="8" borderId="1" xfId="49" applyFont="1" applyFill="1" applyBorder="1" applyAlignment="1" applyProtection="1">
      <alignment horizontal="center" vertical="center" wrapText="1"/>
    </xf>
    <xf numFmtId="0" fontId="6" fillId="4" borderId="1" xfId="49" applyFont="1" applyFill="1" applyBorder="1" applyAlignment="1" applyProtection="1">
      <alignment horizontal="center" vertical="center" wrapText="1"/>
    </xf>
    <xf numFmtId="0" fontId="4" fillId="5" borderId="1" xfId="49" applyFont="1" applyFill="1" applyBorder="1" applyAlignment="1">
      <alignment horizontal="left" vertical="center" wrapText="1"/>
    </xf>
    <xf numFmtId="0" fontId="0" fillId="0" borderId="0" xfId="49" applyAlignment="1">
      <alignment horizontal="left" wrapText="1"/>
    </xf>
    <xf numFmtId="49" fontId="4" fillId="4" borderId="1" xfId="49" applyNumberFormat="1" applyFont="1" applyFill="1" applyBorder="1" applyAlignment="1">
      <alignment horizontal="left" vertical="center" wrapText="1"/>
    </xf>
    <xf numFmtId="1" fontId="4" fillId="4" borderId="1" xfId="49" applyNumberFormat="1" applyFont="1" applyFill="1" applyBorder="1" applyAlignment="1">
      <alignment horizontal="center" vertical="center" wrapText="1"/>
    </xf>
    <xf numFmtId="0" fontId="10" fillId="4" borderId="1" xfId="49" applyFont="1" applyFill="1" applyBorder="1" applyAlignment="1">
      <alignment horizontal="center" vertical="center" wrapText="1"/>
    </xf>
    <xf numFmtId="177" fontId="4" fillId="4" borderId="1" xfId="49" applyNumberFormat="1" applyFont="1" applyFill="1" applyBorder="1" applyAlignment="1">
      <alignment horizontal="center" vertical="center" wrapText="1"/>
    </xf>
    <xf numFmtId="1" fontId="1" fillId="6" borderId="1" xfId="49" applyNumberFormat="1" applyFont="1" applyFill="1" applyBorder="1" applyAlignment="1">
      <alignment horizontal="center" vertical="center" wrapText="1"/>
    </xf>
    <xf numFmtId="178" fontId="4" fillId="4" borderId="1" xfId="49" applyNumberFormat="1" applyFont="1" applyFill="1" applyBorder="1" applyAlignment="1">
      <alignment horizontal="center" vertical="center" wrapText="1"/>
    </xf>
    <xf numFmtId="1" fontId="4" fillId="0" borderId="1" xfId="49" applyNumberFormat="1" applyFont="1" applyFill="1" applyBorder="1" applyAlignment="1">
      <alignment horizontal="center" vertical="center" wrapText="1"/>
    </xf>
    <xf numFmtId="178" fontId="1" fillId="6" borderId="1" xfId="49" applyNumberFormat="1" applyFont="1" applyFill="1" applyBorder="1" applyAlignment="1">
      <alignment horizontal="center" vertical="center" wrapText="1"/>
    </xf>
    <xf numFmtId="0" fontId="4" fillId="4" borderId="1" xfId="49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 wrapText="1"/>
    </xf>
    <xf numFmtId="0" fontId="10" fillId="7" borderId="1" xfId="49" applyFont="1" applyFill="1" applyBorder="1" applyAlignment="1">
      <alignment horizontal="center" vertical="center" wrapText="1"/>
    </xf>
    <xf numFmtId="179" fontId="4" fillId="4" borderId="1" xfId="49" applyNumberFormat="1" applyFont="1" applyFill="1" applyBorder="1" applyAlignment="1">
      <alignment horizontal="center" vertical="center" wrapText="1"/>
    </xf>
    <xf numFmtId="0" fontId="4" fillId="5" borderId="1" xfId="49" applyFont="1" applyFill="1" applyBorder="1" applyAlignment="1">
      <alignment horizontal="center" vertical="center" wrapText="1"/>
    </xf>
    <xf numFmtId="1" fontId="4" fillId="0" borderId="1" xfId="49" applyNumberFormat="1" applyFont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 wrapText="1"/>
    </xf>
    <xf numFmtId="0" fontId="0" fillId="5" borderId="0" xfId="49" applyFill="1"/>
    <xf numFmtId="0" fontId="12" fillId="4" borderId="1" xfId="49" applyFont="1" applyFill="1" applyBorder="1" applyAlignment="1">
      <alignment horizontal="center" vertical="center" wrapText="1"/>
    </xf>
    <xf numFmtId="0" fontId="12" fillId="5" borderId="1" xfId="49" applyFont="1" applyFill="1" applyBorder="1" applyAlignment="1">
      <alignment horizontal="center" vertical="center" wrapText="1"/>
    </xf>
    <xf numFmtId="1" fontId="7" fillId="4" borderId="1" xfId="49" applyNumberFormat="1" applyFont="1" applyFill="1" applyBorder="1" applyAlignment="1" applyProtection="1">
      <alignment horizontal="center" vertical="center" wrapText="1"/>
    </xf>
    <xf numFmtId="1" fontId="8" fillId="6" borderId="1" xfId="49" applyNumberFormat="1" applyFont="1" applyFill="1" applyBorder="1" applyAlignment="1" applyProtection="1">
      <alignment horizontal="center" vertical="center" wrapText="1"/>
    </xf>
    <xf numFmtId="177" fontId="7" fillId="4" borderId="1" xfId="49" applyNumberFormat="1" applyFont="1" applyFill="1" applyBorder="1" applyAlignment="1" applyProtection="1">
      <alignment horizontal="left" vertical="center" wrapText="1"/>
    </xf>
    <xf numFmtId="1" fontId="8" fillId="6" borderId="1" xfId="49" applyNumberFormat="1" applyFont="1" applyFill="1" applyBorder="1" applyAlignment="1" applyProtection="1">
      <alignment horizontal="left" vertical="center" wrapText="1"/>
    </xf>
    <xf numFmtId="0" fontId="4" fillId="4" borderId="1" xfId="49" applyFont="1" applyFill="1" applyBorder="1" applyAlignment="1" quotePrefix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ill>
        <patternFill patternType="solid">
          <bgColor rgb="FFF8CBA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783"/>
  <sheetViews>
    <sheetView showGridLines="0" tabSelected="1" zoomScale="90" zoomScaleNormal="90" workbookViewId="0">
      <pane xSplit="2" ySplit="1" topLeftCell="C2" activePane="bottomRight" state="frozen"/>
      <selection/>
      <selection pane="topRight"/>
      <selection pane="bottomLeft"/>
      <selection pane="bottomRight" activeCell="A2" sqref="A2:A36"/>
    </sheetView>
  </sheetViews>
  <sheetFormatPr defaultColWidth="9" defaultRowHeight="15"/>
  <cols>
    <col min="1" max="1" width="20.3333333333333" style="9" customWidth="1"/>
    <col min="2" max="2" width="22.552380952381" style="9" customWidth="1"/>
    <col min="3" max="4" width="10" style="9" customWidth="1"/>
    <col min="5" max="5" width="12" style="9" hidden="1" customWidth="1"/>
    <col min="6" max="6" width="21.2190476190476" style="9" customWidth="1"/>
    <col min="7" max="8" width="14.2190476190476" style="9" customWidth="1"/>
    <col min="9" max="9" width="12" style="9" customWidth="1"/>
    <col min="10" max="10" width="11.7142857142857" style="9" customWidth="1"/>
    <col min="11" max="11" width="18" style="9" hidden="1" customWidth="1"/>
    <col min="12" max="12" width="14" style="9" hidden="1" customWidth="1"/>
    <col min="13" max="14" width="12" style="9" hidden="1" customWidth="1"/>
    <col min="15" max="15" width="12" style="9" customWidth="1"/>
    <col min="16" max="19" width="10" style="9" hidden="1" customWidth="1"/>
    <col min="20" max="20" width="12" style="9" hidden="1" customWidth="1"/>
    <col min="21" max="21" width="10" style="9" hidden="1" customWidth="1"/>
    <col min="22" max="22" width="12" style="9" hidden="1" customWidth="1"/>
    <col min="23" max="24" width="12" style="9" customWidth="1"/>
    <col min="25" max="25" width="19.0952380952381" style="9" customWidth="1"/>
    <col min="26" max="26" width="18.1809523809524" style="9" customWidth="1"/>
    <col min="27" max="27" width="20" style="10" customWidth="1"/>
    <col min="28" max="28" width="21.8095238095238" style="10" customWidth="1"/>
    <col min="29" max="29" width="20" style="10" customWidth="1"/>
    <col min="30" max="30" width="18.1428571428571" style="10" customWidth="1"/>
    <col min="31" max="31" width="20" style="10" customWidth="1"/>
    <col min="32" max="32" width="21.047619047619" style="10" customWidth="1"/>
    <col min="33" max="33" width="35.552380952381" style="9" customWidth="1"/>
    <col min="34" max="34" width="10" style="9" hidden="1" customWidth="1"/>
    <col min="35" max="35" width="16" style="9" hidden="1" customWidth="1"/>
    <col min="36" max="36" width="18" style="9" hidden="1" customWidth="1"/>
    <col min="37" max="37" width="16" style="9" hidden="1" customWidth="1"/>
    <col min="38" max="38" width="12" style="9" hidden="1" customWidth="1"/>
    <col min="39" max="39" width="72.0666666666667" style="9" customWidth="1"/>
    <col min="40" max="40" width="18" style="9" hidden="1" customWidth="1"/>
    <col min="41" max="41" width="14" style="9" hidden="1" customWidth="1"/>
    <col min="42" max="42" width="16" style="9" hidden="1" customWidth="1"/>
    <col min="43" max="43" width="22" style="9" hidden="1" customWidth="1"/>
    <col min="44" max="44" width="16" style="9" hidden="1" customWidth="1"/>
    <col min="45" max="45" width="20" style="9" hidden="1" customWidth="1"/>
    <col min="46" max="46" width="1.71428571428571" style="9" customWidth="1"/>
    <col min="47" max="47" width="25.6190476190476" style="11" customWidth="1"/>
    <col min="48" max="16384" width="9" style="9"/>
  </cols>
  <sheetData>
    <row r="1" ht="28" customHeight="1" spans="1:49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2" t="s">
        <v>9</v>
      </c>
      <c r="K1" s="15" t="s">
        <v>10</v>
      </c>
      <c r="L1" s="15" t="s">
        <v>11</v>
      </c>
      <c r="M1" s="12" t="s">
        <v>12</v>
      </c>
      <c r="N1" s="15" t="s">
        <v>13</v>
      </c>
      <c r="O1" s="15" t="s">
        <v>14</v>
      </c>
      <c r="P1" s="15" t="s">
        <v>15</v>
      </c>
      <c r="Q1" s="12" t="s">
        <v>16</v>
      </c>
      <c r="R1" s="12" t="s">
        <v>17</v>
      </c>
      <c r="S1" s="15" t="s">
        <v>18</v>
      </c>
      <c r="T1" s="12" t="s">
        <v>19</v>
      </c>
      <c r="U1" s="12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5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6" t="s">
        <v>45</v>
      </c>
      <c r="AU1" s="11" t="s">
        <v>38</v>
      </c>
    </row>
    <row r="2" spans="1:49">
      <c r="A2" s="17" t="s">
        <v>46</v>
      </c>
      <c r="B2" s="4" t="s">
        <v>47</v>
      </c>
      <c r="C2" s="4">
        <v>31</v>
      </c>
      <c r="D2" s="4" t="s">
        <v>48</v>
      </c>
      <c r="E2" s="18"/>
      <c r="F2" s="4" t="s">
        <v>49</v>
      </c>
      <c r="G2" s="19">
        <v>44749.439212963</v>
      </c>
      <c r="H2" s="19">
        <v>44587</v>
      </c>
      <c r="I2" s="19">
        <v>44858</v>
      </c>
      <c r="J2" s="20">
        <f>I2-H2</f>
        <v>271</v>
      </c>
      <c r="K2" s="21"/>
      <c r="L2" s="21"/>
      <c r="M2" s="22"/>
      <c r="N2" s="21"/>
      <c r="O2" s="21" t="s">
        <v>50</v>
      </c>
      <c r="P2" s="23"/>
      <c r="Q2" s="24"/>
      <c r="R2" s="25"/>
      <c r="S2" s="21"/>
      <c r="T2" s="22"/>
      <c r="U2" s="22"/>
      <c r="V2" s="21"/>
      <c r="W2" s="21" t="s">
        <v>51</v>
      </c>
      <c r="X2" s="21" t="s">
        <v>51</v>
      </c>
      <c r="Y2" s="21" t="s">
        <v>51</v>
      </c>
      <c r="Z2" s="21" t="s">
        <v>51</v>
      </c>
      <c r="AA2" s="10" t="s">
        <v>52</v>
      </c>
      <c r="AC2" s="10" t="s">
        <v>52</v>
      </c>
      <c r="AE2" s="10" t="s">
        <v>52</v>
      </c>
      <c r="AG2" s="21"/>
      <c r="AH2" s="22"/>
      <c r="AI2" s="22"/>
      <c r="AJ2" s="22"/>
      <c r="AK2" s="22"/>
      <c r="AL2" s="22"/>
      <c r="AM2" s="26"/>
      <c r="AN2" s="24"/>
      <c r="AO2" s="22"/>
      <c r="AP2" s="24"/>
      <c r="AQ2" s="22"/>
      <c r="AR2" s="24"/>
      <c r="AS2" s="24"/>
      <c r="AT2" s="27"/>
      <c r="AV2" s="28"/>
      <c r="AW2" s="28"/>
    </row>
    <row r="3" spans="1:49">
      <c r="A3" s="17" t="s">
        <v>46</v>
      </c>
      <c r="B3" s="4" t="s">
        <v>53</v>
      </c>
      <c r="C3" s="4">
        <v>28</v>
      </c>
      <c r="D3" s="4" t="s">
        <v>54</v>
      </c>
      <c r="E3" s="18"/>
      <c r="F3" s="4" t="s">
        <v>49</v>
      </c>
      <c r="G3" s="19">
        <v>44758.4713078704</v>
      </c>
      <c r="H3" s="19">
        <v>44588</v>
      </c>
      <c r="I3" s="19">
        <v>44854</v>
      </c>
      <c r="J3" s="20">
        <f t="shared" ref="J2:J66" si="0">IF(AND(H3&lt;&gt;"",I3&lt;&gt;""),I3-H3+1,"")</f>
        <v>267</v>
      </c>
      <c r="K3" s="21"/>
      <c r="L3" s="21"/>
      <c r="M3" s="22"/>
      <c r="N3" s="21"/>
      <c r="O3" s="21" t="s">
        <v>50</v>
      </c>
      <c r="P3" s="23"/>
      <c r="Q3" s="24"/>
      <c r="R3" s="25" t="str">
        <f t="shared" ref="R2:R65" si="1">IF(AND(P3&lt;&gt;"",Q3&lt;&gt;""),P3/(Q3/100)^2,"")</f>
        <v/>
      </c>
      <c r="S3" s="21"/>
      <c r="T3" s="22"/>
      <c r="U3" s="22"/>
      <c r="V3" s="21"/>
      <c r="W3" s="21" t="s">
        <v>51</v>
      </c>
      <c r="X3" s="21" t="s">
        <v>51</v>
      </c>
      <c r="Y3" s="21" t="s">
        <v>51</v>
      </c>
      <c r="Z3" s="21" t="s">
        <v>51</v>
      </c>
      <c r="AA3" s="10" t="s">
        <v>52</v>
      </c>
      <c r="AC3" s="10" t="s">
        <v>52</v>
      </c>
      <c r="AE3" s="10" t="s">
        <v>52</v>
      </c>
      <c r="AG3" s="21"/>
      <c r="AH3" s="22"/>
      <c r="AI3" s="22"/>
      <c r="AJ3" s="22"/>
      <c r="AK3" s="22"/>
      <c r="AL3" s="22"/>
      <c r="AM3" s="26"/>
      <c r="AN3" s="24"/>
      <c r="AO3" s="22"/>
      <c r="AP3" s="24"/>
      <c r="AQ3" s="22"/>
      <c r="AR3" s="24"/>
      <c r="AS3" s="24"/>
      <c r="AT3" s="27"/>
      <c r="AV3" s="28"/>
      <c r="AW3" s="28"/>
    </row>
    <row r="4" spans="1:49">
      <c r="A4" s="17" t="s">
        <v>46</v>
      </c>
      <c r="B4" s="4" t="s">
        <v>55</v>
      </c>
      <c r="C4" s="4">
        <v>37</v>
      </c>
      <c r="D4" s="4" t="s">
        <v>48</v>
      </c>
      <c r="E4" s="18"/>
      <c r="F4" s="4" t="s">
        <v>56</v>
      </c>
      <c r="G4" s="19" t="s">
        <v>57</v>
      </c>
      <c r="H4" s="19">
        <v>44591</v>
      </c>
      <c r="I4" s="19">
        <v>44769</v>
      </c>
      <c r="J4" s="20">
        <f t="shared" si="0"/>
        <v>179</v>
      </c>
      <c r="K4" s="21"/>
      <c r="L4" s="21"/>
      <c r="M4" s="22"/>
      <c r="N4" s="21"/>
      <c r="O4" s="21" t="s">
        <v>50</v>
      </c>
      <c r="P4" s="23"/>
      <c r="Q4" s="24"/>
      <c r="R4" s="25" t="str">
        <f t="shared" si="1"/>
        <v/>
      </c>
      <c r="S4" s="21"/>
      <c r="T4" s="22"/>
      <c r="U4" s="22"/>
      <c r="V4" s="21"/>
      <c r="W4" s="21" t="s">
        <v>51</v>
      </c>
      <c r="X4" s="21" t="s">
        <v>51</v>
      </c>
      <c r="Y4" s="21" t="s">
        <v>51</v>
      </c>
      <c r="Z4" s="21" t="s">
        <v>51</v>
      </c>
      <c r="AA4" s="10" t="s">
        <v>52</v>
      </c>
      <c r="AC4" s="10" t="s">
        <v>52</v>
      </c>
      <c r="AE4" s="10" t="s">
        <v>52</v>
      </c>
      <c r="AG4" s="21"/>
      <c r="AH4" s="22"/>
      <c r="AI4" s="22"/>
      <c r="AJ4" s="22"/>
      <c r="AK4" s="22"/>
      <c r="AL4" s="22"/>
      <c r="AM4" s="26"/>
      <c r="AN4" s="24"/>
      <c r="AO4" s="22"/>
      <c r="AP4" s="24"/>
      <c r="AQ4" s="22"/>
      <c r="AR4" s="24"/>
      <c r="AS4" s="24"/>
      <c r="AT4" s="27"/>
      <c r="AV4" s="28"/>
      <c r="AW4" s="28"/>
    </row>
    <row r="5" spans="1:49">
      <c r="A5" s="17" t="s">
        <v>46</v>
      </c>
      <c r="B5" s="4" t="s">
        <v>58</v>
      </c>
      <c r="C5" s="4">
        <v>48</v>
      </c>
      <c r="D5" s="4" t="s">
        <v>48</v>
      </c>
      <c r="E5" s="18"/>
      <c r="F5" s="4" t="s">
        <v>56</v>
      </c>
      <c r="G5" s="19" t="s">
        <v>57</v>
      </c>
      <c r="H5" s="19">
        <v>44592</v>
      </c>
      <c r="I5" s="19"/>
      <c r="J5" s="20" t="str">
        <f t="shared" si="0"/>
        <v/>
      </c>
      <c r="K5" s="21"/>
      <c r="L5" s="21"/>
      <c r="M5" s="22"/>
      <c r="N5" s="21"/>
      <c r="O5" s="21" t="s">
        <v>50</v>
      </c>
      <c r="P5" s="23"/>
      <c r="Q5" s="24"/>
      <c r="R5" s="25" t="str">
        <f t="shared" si="1"/>
        <v/>
      </c>
      <c r="S5" s="21"/>
      <c r="T5" s="22"/>
      <c r="U5" s="22"/>
      <c r="V5" s="21"/>
      <c r="W5" s="21" t="s">
        <v>51</v>
      </c>
      <c r="X5" s="21"/>
      <c r="Y5" s="21"/>
      <c r="Z5" s="21"/>
      <c r="AG5" s="21"/>
      <c r="AH5" s="22"/>
      <c r="AI5" s="22"/>
      <c r="AJ5" s="22"/>
      <c r="AK5" s="22"/>
      <c r="AL5" s="22"/>
      <c r="AM5" s="29" t="s">
        <v>59</v>
      </c>
      <c r="AN5" s="24"/>
      <c r="AO5" s="22"/>
      <c r="AP5" s="24"/>
      <c r="AQ5" s="22"/>
      <c r="AR5" s="24"/>
      <c r="AS5" s="24"/>
      <c r="AT5" s="27"/>
      <c r="AV5" s="28"/>
      <c r="AW5" s="28"/>
    </row>
    <row r="6" spans="1:49">
      <c r="A6" s="17" t="s">
        <v>46</v>
      </c>
      <c r="B6" s="4" t="s">
        <v>60</v>
      </c>
      <c r="C6" s="4">
        <v>46</v>
      </c>
      <c r="D6" s="4" t="s">
        <v>54</v>
      </c>
      <c r="E6" s="18"/>
      <c r="F6" s="4" t="s">
        <v>56</v>
      </c>
      <c r="G6" s="19" t="s">
        <v>57</v>
      </c>
      <c r="H6" s="19">
        <v>44600</v>
      </c>
      <c r="I6" s="19">
        <v>44778</v>
      </c>
      <c r="J6" s="20">
        <f t="shared" si="0"/>
        <v>179</v>
      </c>
      <c r="K6" s="21"/>
      <c r="L6" s="21"/>
      <c r="M6" s="22"/>
      <c r="N6" s="21"/>
      <c r="O6" s="21" t="s">
        <v>51</v>
      </c>
      <c r="P6" s="23"/>
      <c r="Q6" s="24"/>
      <c r="R6" s="25" t="str">
        <f t="shared" si="1"/>
        <v/>
      </c>
      <c r="S6" s="21"/>
      <c r="T6" s="22"/>
      <c r="U6" s="22"/>
      <c r="V6" s="21"/>
      <c r="W6" s="21" t="s">
        <v>51</v>
      </c>
      <c r="X6" s="21" t="s">
        <v>51</v>
      </c>
      <c r="Y6" s="21" t="s">
        <v>51</v>
      </c>
      <c r="Z6" s="21" t="s">
        <v>51</v>
      </c>
      <c r="AA6" s="10" t="s">
        <v>52</v>
      </c>
      <c r="AC6" s="10" t="s">
        <v>52</v>
      </c>
      <c r="AE6" s="10" t="s">
        <v>52</v>
      </c>
      <c r="AG6" s="21"/>
      <c r="AH6" s="22"/>
      <c r="AI6" s="22"/>
      <c r="AJ6" s="22"/>
      <c r="AK6" s="22"/>
      <c r="AL6" s="22"/>
      <c r="AM6" s="26"/>
      <c r="AN6" s="24"/>
      <c r="AO6" s="22"/>
      <c r="AP6" s="24"/>
      <c r="AQ6" s="22"/>
      <c r="AR6" s="24"/>
      <c r="AS6" s="24"/>
      <c r="AT6" s="27"/>
      <c r="AV6" s="28"/>
      <c r="AW6" s="28"/>
    </row>
    <row r="7" spans="1:49">
      <c r="A7" s="17" t="s">
        <v>46</v>
      </c>
      <c r="B7" s="4" t="s">
        <v>61</v>
      </c>
      <c r="C7" s="4">
        <v>53</v>
      </c>
      <c r="D7" s="4" t="s">
        <v>48</v>
      </c>
      <c r="E7" s="18"/>
      <c r="F7" s="4" t="s">
        <v>49</v>
      </c>
      <c r="G7" s="19" t="s">
        <v>57</v>
      </c>
      <c r="H7" s="19">
        <v>44605</v>
      </c>
      <c r="I7" s="19">
        <v>44871</v>
      </c>
      <c r="J7" s="20">
        <f t="shared" si="0"/>
        <v>267</v>
      </c>
      <c r="K7" s="21"/>
      <c r="L7" s="21"/>
      <c r="M7" s="22"/>
      <c r="N7" s="21"/>
      <c r="O7" s="21" t="s">
        <v>50</v>
      </c>
      <c r="P7" s="21" t="s">
        <v>50</v>
      </c>
      <c r="Q7" s="21" t="s">
        <v>50</v>
      </c>
      <c r="R7" s="21" t="s">
        <v>50</v>
      </c>
      <c r="S7" s="21" t="s">
        <v>50</v>
      </c>
      <c r="T7" s="21" t="s">
        <v>50</v>
      </c>
      <c r="U7" s="21" t="s">
        <v>50</v>
      </c>
      <c r="V7" s="21" t="s">
        <v>50</v>
      </c>
      <c r="W7" s="21" t="s">
        <v>50</v>
      </c>
      <c r="X7" s="21" t="s">
        <v>51</v>
      </c>
      <c r="Y7" s="21"/>
      <c r="Z7" s="21"/>
      <c r="AA7" s="10" t="s">
        <v>52</v>
      </c>
      <c r="AG7" s="21"/>
      <c r="AH7" s="22"/>
      <c r="AI7" s="22"/>
      <c r="AJ7" s="22"/>
      <c r="AK7" s="22"/>
      <c r="AL7" s="22"/>
      <c r="AM7" s="29" t="s">
        <v>62</v>
      </c>
      <c r="AN7" s="24"/>
      <c r="AO7" s="22"/>
      <c r="AP7" s="24"/>
      <c r="AQ7" s="22"/>
      <c r="AR7" s="24"/>
      <c r="AS7" s="24"/>
      <c r="AT7" s="27"/>
      <c r="AV7" s="28"/>
      <c r="AW7" s="28"/>
    </row>
    <row r="8" ht="18" customHeight="1" spans="1:49">
      <c r="A8" s="17" t="s">
        <v>46</v>
      </c>
      <c r="B8" s="4" t="s">
        <v>63</v>
      </c>
      <c r="C8" s="21">
        <v>47</v>
      </c>
      <c r="D8" s="21" t="s">
        <v>54</v>
      </c>
      <c r="E8" s="18"/>
      <c r="F8" s="4" t="s">
        <v>64</v>
      </c>
      <c r="G8" s="19" t="s">
        <v>57</v>
      </c>
      <c r="H8" s="19">
        <v>44609</v>
      </c>
      <c r="I8" s="19">
        <v>44796</v>
      </c>
      <c r="J8" s="20">
        <f t="shared" si="0"/>
        <v>188</v>
      </c>
      <c r="K8" s="21"/>
      <c r="L8" s="21"/>
      <c r="M8" s="22"/>
      <c r="N8" s="21"/>
      <c r="O8" s="21" t="s">
        <v>51</v>
      </c>
      <c r="P8" s="21" t="s">
        <v>51</v>
      </c>
      <c r="Q8" s="21" t="s">
        <v>51</v>
      </c>
      <c r="R8" s="21" t="s">
        <v>51</v>
      </c>
      <c r="S8" s="21" t="s">
        <v>51</v>
      </c>
      <c r="T8" s="21" t="s">
        <v>51</v>
      </c>
      <c r="U8" s="21" t="s">
        <v>51</v>
      </c>
      <c r="V8" s="21" t="s">
        <v>51</v>
      </c>
      <c r="W8" s="21" t="s">
        <v>51</v>
      </c>
      <c r="X8" s="21" t="s">
        <v>51</v>
      </c>
      <c r="Y8" s="21" t="s">
        <v>51</v>
      </c>
      <c r="Z8" s="21" t="s">
        <v>51</v>
      </c>
      <c r="AA8" s="10" t="s">
        <v>52</v>
      </c>
      <c r="AC8" s="10" t="s">
        <v>52</v>
      </c>
      <c r="AE8" s="10" t="s">
        <v>52</v>
      </c>
      <c r="AG8" s="21"/>
      <c r="AH8" s="22"/>
      <c r="AI8" s="22"/>
      <c r="AJ8" s="22"/>
      <c r="AK8" s="22"/>
      <c r="AL8" s="22"/>
      <c r="AM8" s="26"/>
      <c r="AN8" s="24"/>
      <c r="AO8" s="22"/>
      <c r="AP8" s="24"/>
      <c r="AQ8" s="22"/>
      <c r="AR8" s="24"/>
      <c r="AS8" s="24"/>
      <c r="AT8" s="27"/>
      <c r="AV8" s="28"/>
      <c r="AW8" s="28"/>
    </row>
    <row r="9" spans="1:49">
      <c r="A9" s="17" t="s">
        <v>46</v>
      </c>
      <c r="B9" s="4" t="s">
        <v>65</v>
      </c>
      <c r="C9" s="4">
        <v>20</v>
      </c>
      <c r="D9" s="4" t="s">
        <v>48</v>
      </c>
      <c r="E9" s="18"/>
      <c r="F9" s="4" t="s">
        <v>64</v>
      </c>
      <c r="G9" s="19" t="s">
        <v>57</v>
      </c>
      <c r="H9" s="19">
        <v>44635</v>
      </c>
      <c r="I9" s="19">
        <v>44901</v>
      </c>
      <c r="J9" s="20">
        <f t="shared" si="0"/>
        <v>267</v>
      </c>
      <c r="K9" s="21"/>
      <c r="L9" s="21"/>
      <c r="M9" s="22"/>
      <c r="N9" s="21"/>
      <c r="O9" s="21" t="s">
        <v>51</v>
      </c>
      <c r="P9" s="21" t="s">
        <v>51</v>
      </c>
      <c r="Q9" s="21" t="s">
        <v>51</v>
      </c>
      <c r="R9" s="21" t="s">
        <v>51</v>
      </c>
      <c r="S9" s="21" t="s">
        <v>51</v>
      </c>
      <c r="T9" s="21" t="s">
        <v>51</v>
      </c>
      <c r="U9" s="21" t="s">
        <v>51</v>
      </c>
      <c r="V9" s="21" t="s">
        <v>51</v>
      </c>
      <c r="W9" s="21" t="s">
        <v>51</v>
      </c>
      <c r="X9" s="21" t="s">
        <v>51</v>
      </c>
      <c r="Y9" s="21" t="s">
        <v>51</v>
      </c>
      <c r="Z9" s="21" t="s">
        <v>51</v>
      </c>
      <c r="AA9" s="10" t="s">
        <v>52</v>
      </c>
      <c r="AC9" s="10" t="s">
        <v>52</v>
      </c>
      <c r="AE9" s="10" t="s">
        <v>52</v>
      </c>
      <c r="AG9" s="21"/>
      <c r="AH9" s="22"/>
      <c r="AI9" s="22"/>
      <c r="AJ9" s="22"/>
      <c r="AK9" s="22"/>
      <c r="AL9" s="22"/>
      <c r="AM9" s="26"/>
      <c r="AN9" s="24"/>
      <c r="AO9" s="22"/>
      <c r="AP9" s="24"/>
      <c r="AQ9" s="22"/>
      <c r="AR9" s="24"/>
      <c r="AS9" s="24"/>
      <c r="AT9" s="27"/>
      <c r="AV9" s="28"/>
      <c r="AW9" s="28"/>
    </row>
    <row r="10" spans="1:49">
      <c r="A10" s="17" t="s">
        <v>46</v>
      </c>
      <c r="B10" s="4" t="s">
        <v>66</v>
      </c>
      <c r="C10" s="4">
        <v>41</v>
      </c>
      <c r="D10" s="4" t="s">
        <v>54</v>
      </c>
      <c r="E10" s="18"/>
      <c r="F10" s="4" t="s">
        <v>49</v>
      </c>
      <c r="G10" s="19">
        <v>44811.4701388889</v>
      </c>
      <c r="H10" s="19">
        <v>44641</v>
      </c>
      <c r="I10" s="19">
        <v>44836</v>
      </c>
      <c r="J10" s="20">
        <f t="shared" si="0"/>
        <v>196</v>
      </c>
      <c r="K10" s="21"/>
      <c r="L10" s="21"/>
      <c r="M10" s="22"/>
      <c r="N10" s="21"/>
      <c r="O10" s="21" t="s">
        <v>50</v>
      </c>
      <c r="P10" s="23"/>
      <c r="Q10" s="24"/>
      <c r="R10" s="25" t="str">
        <f t="shared" si="1"/>
        <v/>
      </c>
      <c r="S10" s="21"/>
      <c r="T10" s="22"/>
      <c r="U10" s="22"/>
      <c r="V10" s="21"/>
      <c r="W10" s="21" t="s">
        <v>51</v>
      </c>
      <c r="X10" s="21" t="s">
        <v>51</v>
      </c>
      <c r="Y10" s="21" t="s">
        <v>51</v>
      </c>
      <c r="Z10" s="21" t="s">
        <v>51</v>
      </c>
      <c r="AA10" s="10" t="s">
        <v>52</v>
      </c>
      <c r="AC10" s="10" t="s">
        <v>52</v>
      </c>
      <c r="AE10" s="10" t="s">
        <v>52</v>
      </c>
      <c r="AG10" s="21"/>
      <c r="AH10" s="22"/>
      <c r="AI10" s="22"/>
      <c r="AJ10" s="22"/>
      <c r="AK10" s="22"/>
      <c r="AL10" s="22"/>
      <c r="AM10" s="26"/>
      <c r="AN10" s="24"/>
      <c r="AO10" s="22"/>
      <c r="AP10" s="24"/>
      <c r="AQ10" s="22"/>
      <c r="AR10" s="24"/>
      <c r="AS10" s="24"/>
      <c r="AT10" s="27"/>
      <c r="AV10" s="28"/>
      <c r="AW10" s="28"/>
    </row>
    <row r="11" spans="1:49">
      <c r="A11" s="17" t="s">
        <v>46</v>
      </c>
      <c r="B11" s="4" t="s">
        <v>67</v>
      </c>
      <c r="C11" s="4">
        <v>29</v>
      </c>
      <c r="D11" s="4" t="s">
        <v>54</v>
      </c>
      <c r="E11" s="18"/>
      <c r="F11" s="4" t="s">
        <v>68</v>
      </c>
      <c r="G11" s="19" t="s">
        <v>57</v>
      </c>
      <c r="H11" s="19">
        <v>44653</v>
      </c>
      <c r="I11" s="19">
        <v>44845</v>
      </c>
      <c r="J11" s="20">
        <f t="shared" si="0"/>
        <v>193</v>
      </c>
      <c r="K11" s="21"/>
      <c r="L11" s="21"/>
      <c r="M11" s="22"/>
      <c r="N11" s="21"/>
      <c r="O11" s="21" t="s">
        <v>51</v>
      </c>
      <c r="P11" s="21" t="s">
        <v>51</v>
      </c>
      <c r="Q11" s="21" t="s">
        <v>51</v>
      </c>
      <c r="R11" s="21" t="s">
        <v>51</v>
      </c>
      <c r="S11" s="21" t="s">
        <v>51</v>
      </c>
      <c r="T11" s="21" t="s">
        <v>51</v>
      </c>
      <c r="U11" s="21" t="s">
        <v>51</v>
      </c>
      <c r="V11" s="21" t="s">
        <v>51</v>
      </c>
      <c r="W11" s="21" t="s">
        <v>51</v>
      </c>
      <c r="X11" s="21" t="s">
        <v>51</v>
      </c>
      <c r="Y11" s="21" t="s">
        <v>51</v>
      </c>
      <c r="Z11" s="21"/>
      <c r="AA11" s="10" t="s">
        <v>52</v>
      </c>
      <c r="AC11" s="10" t="s">
        <v>52</v>
      </c>
      <c r="AG11" s="21"/>
      <c r="AH11" s="22"/>
      <c r="AI11" s="22"/>
      <c r="AJ11" s="22"/>
      <c r="AK11" s="22"/>
      <c r="AL11" s="22"/>
      <c r="AM11" s="29" t="s">
        <v>69</v>
      </c>
      <c r="AN11" s="24"/>
      <c r="AO11" s="22"/>
      <c r="AP11" s="24"/>
      <c r="AQ11" s="22"/>
      <c r="AR11" s="24"/>
      <c r="AS11" s="24"/>
      <c r="AT11" s="27"/>
      <c r="AV11" s="28"/>
      <c r="AW11" s="28"/>
    </row>
    <row r="12" spans="1:49">
      <c r="A12" s="17" t="s">
        <v>46</v>
      </c>
      <c r="B12" s="4" t="s">
        <v>70</v>
      </c>
      <c r="C12" s="4">
        <v>19</v>
      </c>
      <c r="D12" s="4" t="s">
        <v>48</v>
      </c>
      <c r="E12" s="18"/>
      <c r="F12" s="4" t="s">
        <v>49</v>
      </c>
      <c r="G12" s="19">
        <v>44824.6766898148</v>
      </c>
      <c r="H12" s="19">
        <v>44659</v>
      </c>
      <c r="I12" s="19">
        <v>44844</v>
      </c>
      <c r="J12" s="20">
        <f t="shared" si="0"/>
        <v>186</v>
      </c>
      <c r="K12" s="21"/>
      <c r="L12" s="21"/>
      <c r="M12" s="22"/>
      <c r="N12" s="21"/>
      <c r="O12" s="21" t="s">
        <v>51</v>
      </c>
      <c r="P12" s="21" t="s">
        <v>51</v>
      </c>
      <c r="Q12" s="21" t="s">
        <v>51</v>
      </c>
      <c r="R12" s="21" t="s">
        <v>51</v>
      </c>
      <c r="S12" s="21" t="s">
        <v>51</v>
      </c>
      <c r="T12" s="21" t="s">
        <v>51</v>
      </c>
      <c r="U12" s="21" t="s">
        <v>51</v>
      </c>
      <c r="V12" s="21" t="s">
        <v>51</v>
      </c>
      <c r="W12" s="21" t="s">
        <v>51</v>
      </c>
      <c r="X12" s="21" t="s">
        <v>51</v>
      </c>
      <c r="Y12" s="21" t="s">
        <v>51</v>
      </c>
      <c r="Z12" s="21" t="s">
        <v>51</v>
      </c>
      <c r="AA12" s="10" t="s">
        <v>52</v>
      </c>
      <c r="AC12" s="10" t="s">
        <v>52</v>
      </c>
      <c r="AE12" s="10" t="s">
        <v>52</v>
      </c>
      <c r="AG12" s="21"/>
      <c r="AH12" s="22"/>
      <c r="AI12" s="22"/>
      <c r="AJ12" s="22"/>
      <c r="AK12" s="22"/>
      <c r="AL12" s="22"/>
      <c r="AM12" s="26"/>
      <c r="AN12" s="24"/>
      <c r="AO12" s="22"/>
      <c r="AP12" s="24"/>
      <c r="AQ12" s="22"/>
      <c r="AR12" s="24"/>
      <c r="AS12" s="24"/>
      <c r="AT12" s="27"/>
      <c r="AV12" s="28"/>
      <c r="AW12" s="28"/>
    </row>
    <row r="13" spans="1:49">
      <c r="A13" s="17" t="s">
        <v>46</v>
      </c>
      <c r="B13" s="4" t="s">
        <v>71</v>
      </c>
      <c r="C13" s="4">
        <v>34</v>
      </c>
      <c r="D13" s="4" t="s">
        <v>48</v>
      </c>
      <c r="E13" s="18"/>
      <c r="F13" s="4" t="s">
        <v>64</v>
      </c>
      <c r="G13" s="19" t="s">
        <v>57</v>
      </c>
      <c r="H13" s="19">
        <v>44659</v>
      </c>
      <c r="I13" s="19">
        <v>44861</v>
      </c>
      <c r="J13" s="20">
        <f t="shared" si="0"/>
        <v>203</v>
      </c>
      <c r="K13" s="21"/>
      <c r="L13" s="21"/>
      <c r="M13" s="22"/>
      <c r="N13" s="21"/>
      <c r="O13" s="21" t="s">
        <v>50</v>
      </c>
      <c r="P13" s="23"/>
      <c r="Q13" s="24"/>
      <c r="R13" s="25" t="str">
        <f>IF(AND(P13&lt;&gt;"",Q13&lt;&gt;""),P13/(Q13/100)^2,"")</f>
        <v/>
      </c>
      <c r="S13" s="21"/>
      <c r="T13" s="22"/>
      <c r="U13" s="22"/>
      <c r="V13" s="21"/>
      <c r="W13" s="21" t="s">
        <v>51</v>
      </c>
      <c r="X13" s="21" t="s">
        <v>51</v>
      </c>
      <c r="Y13" s="21"/>
      <c r="Z13" s="21"/>
      <c r="AA13" s="10" t="s">
        <v>52</v>
      </c>
      <c r="AG13" s="21"/>
      <c r="AH13" s="22"/>
      <c r="AI13" s="22"/>
      <c r="AJ13" s="22"/>
      <c r="AK13" s="22"/>
      <c r="AL13" s="22"/>
      <c r="AM13" s="29" t="s">
        <v>72</v>
      </c>
      <c r="AN13" s="24"/>
      <c r="AO13" s="22"/>
      <c r="AP13" s="24"/>
      <c r="AQ13" s="22"/>
      <c r="AR13" s="24"/>
      <c r="AS13" s="24"/>
      <c r="AT13" s="27"/>
      <c r="AV13" s="28"/>
      <c r="AW13" s="28"/>
    </row>
    <row r="14" ht="19.5" customHeight="1" spans="1:49">
      <c r="A14" s="17" t="s">
        <v>46</v>
      </c>
      <c r="B14" s="4" t="s">
        <v>73</v>
      </c>
      <c r="C14" s="4">
        <v>31</v>
      </c>
      <c r="D14" s="4" t="s">
        <v>48</v>
      </c>
      <c r="E14" s="18"/>
      <c r="F14" s="4" t="s">
        <v>49</v>
      </c>
      <c r="G14" s="19">
        <v>44833.449525463</v>
      </c>
      <c r="H14" s="19">
        <v>44665</v>
      </c>
      <c r="I14" s="19">
        <v>45056</v>
      </c>
      <c r="J14" s="20">
        <f t="shared" si="0"/>
        <v>392</v>
      </c>
      <c r="K14" s="21"/>
      <c r="L14" s="21"/>
      <c r="M14" s="22"/>
      <c r="N14" s="21"/>
      <c r="O14" s="21" t="s">
        <v>51</v>
      </c>
      <c r="P14" s="23"/>
      <c r="Q14" s="24"/>
      <c r="R14" s="25" t="str">
        <f t="shared" si="1"/>
        <v/>
      </c>
      <c r="S14" s="21"/>
      <c r="T14" s="22"/>
      <c r="U14" s="22"/>
      <c r="V14" s="21"/>
      <c r="W14" s="21" t="s">
        <v>50</v>
      </c>
      <c r="X14" s="21" t="s">
        <v>51</v>
      </c>
      <c r="Y14" s="21" t="s">
        <v>51</v>
      </c>
      <c r="Z14" s="21" t="s">
        <v>51</v>
      </c>
      <c r="AA14" s="10" t="s">
        <v>52</v>
      </c>
      <c r="AC14" s="10" t="s">
        <v>52</v>
      </c>
      <c r="AE14" s="10" t="s">
        <v>52</v>
      </c>
      <c r="AG14" s="21"/>
      <c r="AH14" s="22"/>
      <c r="AI14" s="22"/>
      <c r="AJ14" s="22"/>
      <c r="AK14" s="22"/>
      <c r="AL14" s="22"/>
      <c r="AM14" s="26"/>
      <c r="AN14" s="24"/>
      <c r="AO14" s="22"/>
      <c r="AP14" s="24"/>
      <c r="AQ14" s="22"/>
      <c r="AR14" s="24"/>
      <c r="AS14" s="24"/>
      <c r="AT14" s="27"/>
      <c r="AV14" s="28"/>
      <c r="AW14" s="28"/>
    </row>
    <row r="15" spans="1:49">
      <c r="A15" s="17" t="s">
        <v>46</v>
      </c>
      <c r="B15" s="4" t="s">
        <v>74</v>
      </c>
      <c r="C15" s="4">
        <v>55</v>
      </c>
      <c r="D15" s="4" t="s">
        <v>54</v>
      </c>
      <c r="E15" s="18"/>
      <c r="F15" s="4" t="s">
        <v>49</v>
      </c>
      <c r="G15" s="19" t="s">
        <v>57</v>
      </c>
      <c r="H15" s="19">
        <v>44674</v>
      </c>
      <c r="I15" s="19">
        <v>44938</v>
      </c>
      <c r="J15" s="20">
        <f t="shared" si="0"/>
        <v>265</v>
      </c>
      <c r="K15" s="21"/>
      <c r="L15" s="21"/>
      <c r="M15" s="22"/>
      <c r="N15" s="21"/>
      <c r="O15" s="21" t="s">
        <v>50</v>
      </c>
      <c r="P15" s="23"/>
      <c r="Q15" s="24"/>
      <c r="R15" s="25" t="str">
        <f t="shared" si="1"/>
        <v/>
      </c>
      <c r="S15" s="21"/>
      <c r="T15" s="22"/>
      <c r="U15" s="22"/>
      <c r="V15" s="21"/>
      <c r="W15" s="21" t="s">
        <v>51</v>
      </c>
      <c r="X15" s="21" t="s">
        <v>51</v>
      </c>
      <c r="Y15" s="21" t="s">
        <v>51</v>
      </c>
      <c r="Z15" s="21"/>
      <c r="AA15" s="10" t="s">
        <v>52</v>
      </c>
      <c r="AC15" s="10" t="s">
        <v>52</v>
      </c>
      <c r="AG15" s="21"/>
      <c r="AH15" s="22"/>
      <c r="AI15" s="22"/>
      <c r="AJ15" s="22"/>
      <c r="AK15" s="22"/>
      <c r="AL15" s="22"/>
      <c r="AM15" s="29" t="s">
        <v>75</v>
      </c>
      <c r="AN15" s="24"/>
      <c r="AO15" s="22"/>
      <c r="AP15" s="24"/>
      <c r="AQ15" s="22"/>
      <c r="AR15" s="24"/>
      <c r="AS15" s="24"/>
      <c r="AT15" s="27"/>
      <c r="AV15" s="28"/>
      <c r="AW15" s="28"/>
    </row>
    <row r="16" ht="17.25" customHeight="1" spans="1:49">
      <c r="A16" s="17" t="s">
        <v>46</v>
      </c>
      <c r="B16" s="4" t="s">
        <v>76</v>
      </c>
      <c r="C16" s="4">
        <v>44</v>
      </c>
      <c r="D16" s="4" t="s">
        <v>48</v>
      </c>
      <c r="E16" s="18"/>
      <c r="F16" s="4" t="s">
        <v>49</v>
      </c>
      <c r="G16" s="19">
        <v>44868.4406018518</v>
      </c>
      <c r="H16" s="19">
        <v>44675</v>
      </c>
      <c r="I16" s="19">
        <v>44950</v>
      </c>
      <c r="J16" s="20">
        <f t="shared" si="0"/>
        <v>276</v>
      </c>
      <c r="K16" s="21"/>
      <c r="L16" s="21"/>
      <c r="M16" s="22"/>
      <c r="N16" s="21"/>
      <c r="O16" s="21" t="s">
        <v>50</v>
      </c>
      <c r="P16" s="23"/>
      <c r="Q16" s="24"/>
      <c r="R16" s="25" t="str">
        <f t="shared" si="1"/>
        <v/>
      </c>
      <c r="S16" s="21"/>
      <c r="T16" s="22"/>
      <c r="U16" s="22"/>
      <c r="V16" s="21"/>
      <c r="W16" s="21" t="s">
        <v>50</v>
      </c>
      <c r="X16" s="21" t="s">
        <v>51</v>
      </c>
      <c r="Y16" s="21" t="s">
        <v>51</v>
      </c>
      <c r="Z16" s="21" t="s">
        <v>51</v>
      </c>
      <c r="AA16" s="10" t="s">
        <v>52</v>
      </c>
      <c r="AC16" s="10" t="s">
        <v>52</v>
      </c>
      <c r="AE16" s="10" t="s">
        <v>52</v>
      </c>
      <c r="AG16" s="21"/>
      <c r="AH16" s="22"/>
      <c r="AI16" s="22"/>
      <c r="AJ16" s="22"/>
      <c r="AK16" s="22"/>
      <c r="AL16" s="22"/>
      <c r="AM16" s="26"/>
      <c r="AN16" s="24"/>
      <c r="AO16" s="22"/>
      <c r="AP16" s="24"/>
      <c r="AQ16" s="22"/>
      <c r="AR16" s="24"/>
      <c r="AS16" s="24"/>
      <c r="AT16" s="27"/>
      <c r="AV16" s="28"/>
      <c r="AW16" s="28"/>
    </row>
    <row r="17" spans="1:49">
      <c r="A17" s="17" t="s">
        <v>46</v>
      </c>
      <c r="B17" s="4" t="s">
        <v>77</v>
      </c>
      <c r="C17" s="4">
        <v>53</v>
      </c>
      <c r="D17" s="4" t="s">
        <v>48</v>
      </c>
      <c r="E17" s="18"/>
      <c r="F17" s="4" t="s">
        <v>78</v>
      </c>
      <c r="G17" s="19" t="s">
        <v>57</v>
      </c>
      <c r="H17" s="19">
        <v>44676</v>
      </c>
      <c r="I17" s="19"/>
      <c r="J17" s="20" t="str">
        <f t="shared" si="0"/>
        <v/>
      </c>
      <c r="K17" s="21"/>
      <c r="L17" s="21"/>
      <c r="M17" s="22"/>
      <c r="N17" s="21"/>
      <c r="O17" s="21" t="s">
        <v>50</v>
      </c>
      <c r="P17" s="23"/>
      <c r="Q17" s="24"/>
      <c r="R17" s="25" t="str">
        <f t="shared" si="1"/>
        <v/>
      </c>
      <c r="S17" s="21"/>
      <c r="T17" s="22"/>
      <c r="U17" s="22"/>
      <c r="V17" s="21"/>
      <c r="W17" s="21" t="s">
        <v>50</v>
      </c>
      <c r="X17" s="21"/>
      <c r="Y17" s="21"/>
      <c r="Z17" s="21"/>
      <c r="AG17" s="21"/>
      <c r="AH17" s="22"/>
      <c r="AI17" s="22"/>
      <c r="AJ17" s="22"/>
      <c r="AK17" s="22"/>
      <c r="AL17" s="22"/>
      <c r="AM17" s="29" t="s">
        <v>79</v>
      </c>
      <c r="AN17" s="24"/>
      <c r="AO17" s="22"/>
      <c r="AP17" s="24"/>
      <c r="AQ17" s="22"/>
      <c r="AR17" s="24"/>
      <c r="AS17" s="24"/>
      <c r="AT17" s="27"/>
      <c r="AV17" s="28"/>
      <c r="AW17" s="28"/>
    </row>
    <row r="18" spans="1:49">
      <c r="A18" s="17" t="s">
        <v>46</v>
      </c>
      <c r="B18" s="4" t="s">
        <v>80</v>
      </c>
      <c r="C18" s="4">
        <v>60</v>
      </c>
      <c r="D18" s="4" t="s">
        <v>48</v>
      </c>
      <c r="E18" s="18"/>
      <c r="F18" s="4" t="s">
        <v>56</v>
      </c>
      <c r="G18" s="19" t="s">
        <v>57</v>
      </c>
      <c r="H18" s="19">
        <v>44680</v>
      </c>
      <c r="I18" s="19">
        <v>44869</v>
      </c>
      <c r="J18" s="20">
        <f t="shared" si="0"/>
        <v>190</v>
      </c>
      <c r="K18" s="21"/>
      <c r="L18" s="21"/>
      <c r="M18" s="22"/>
      <c r="N18" s="21"/>
      <c r="O18" s="21" t="s">
        <v>50</v>
      </c>
      <c r="P18" s="23"/>
      <c r="Q18" s="24"/>
      <c r="R18" s="25" t="str">
        <f t="shared" si="1"/>
        <v/>
      </c>
      <c r="S18" s="21"/>
      <c r="T18" s="22"/>
      <c r="U18" s="22"/>
      <c r="V18" s="21"/>
      <c r="W18" s="21" t="s">
        <v>51</v>
      </c>
      <c r="X18" s="21" t="s">
        <v>51</v>
      </c>
      <c r="Y18" s="21" t="s">
        <v>51</v>
      </c>
      <c r="Z18" s="21" t="s">
        <v>51</v>
      </c>
      <c r="AA18" s="10" t="s">
        <v>52</v>
      </c>
      <c r="AC18" s="10" t="s">
        <v>52</v>
      </c>
      <c r="AE18" s="10" t="s">
        <v>52</v>
      </c>
      <c r="AG18" s="21"/>
      <c r="AH18" s="22"/>
      <c r="AI18" s="22"/>
      <c r="AJ18" s="22"/>
      <c r="AK18" s="22"/>
      <c r="AL18" s="22"/>
      <c r="AM18" s="26"/>
      <c r="AN18" s="24"/>
      <c r="AO18" s="22"/>
      <c r="AP18" s="24"/>
      <c r="AQ18" s="22"/>
      <c r="AR18" s="24"/>
      <c r="AS18" s="24"/>
      <c r="AT18" s="27"/>
      <c r="AV18" s="28"/>
      <c r="AW18" s="28"/>
    </row>
    <row r="19" spans="1:49">
      <c r="A19" s="17" t="s">
        <v>46</v>
      </c>
      <c r="B19" s="4" t="s">
        <v>81</v>
      </c>
      <c r="C19" s="4">
        <v>45</v>
      </c>
      <c r="D19" s="4" t="s">
        <v>48</v>
      </c>
      <c r="E19" s="18"/>
      <c r="F19" s="4" t="s">
        <v>82</v>
      </c>
      <c r="G19" s="19" t="s">
        <v>57</v>
      </c>
      <c r="H19" s="19">
        <v>44681</v>
      </c>
      <c r="I19" s="19"/>
      <c r="J19" s="20" t="str">
        <f t="shared" si="0"/>
        <v/>
      </c>
      <c r="K19" s="21"/>
      <c r="L19" s="21"/>
      <c r="M19" s="22"/>
      <c r="N19" s="21"/>
      <c r="O19" s="21" t="s">
        <v>50</v>
      </c>
      <c r="P19" s="23"/>
      <c r="Q19" s="24"/>
      <c r="R19" s="25" t="str">
        <f t="shared" si="1"/>
        <v/>
      </c>
      <c r="S19" s="21"/>
      <c r="T19" s="22"/>
      <c r="U19" s="22"/>
      <c r="V19" s="21"/>
      <c r="W19" s="21" t="s">
        <v>51</v>
      </c>
      <c r="X19" s="21"/>
      <c r="Y19" s="21"/>
      <c r="Z19" s="21"/>
      <c r="AG19" s="21"/>
      <c r="AH19" s="22"/>
      <c r="AI19" s="22"/>
      <c r="AJ19" s="22"/>
      <c r="AK19" s="22"/>
      <c r="AL19" s="22"/>
      <c r="AM19" s="29" t="s">
        <v>83</v>
      </c>
      <c r="AN19" s="24"/>
      <c r="AO19" s="22"/>
      <c r="AP19" s="24"/>
      <c r="AQ19" s="22"/>
      <c r="AR19" s="24"/>
      <c r="AS19" s="24"/>
      <c r="AT19" s="27"/>
      <c r="AV19" s="28"/>
      <c r="AW19" s="28"/>
    </row>
    <row r="20" spans="1:49">
      <c r="A20" s="17" t="s">
        <v>46</v>
      </c>
      <c r="B20" s="4" t="s">
        <v>84</v>
      </c>
      <c r="C20" s="4">
        <v>30</v>
      </c>
      <c r="D20" s="4" t="s">
        <v>54</v>
      </c>
      <c r="E20" s="18"/>
      <c r="F20" s="4" t="s">
        <v>49</v>
      </c>
      <c r="G20" s="19">
        <v>44851.4875810185</v>
      </c>
      <c r="H20" s="19">
        <v>44682</v>
      </c>
      <c r="I20" s="19">
        <v>44965</v>
      </c>
      <c r="J20" s="20">
        <f t="shared" si="0"/>
        <v>284</v>
      </c>
      <c r="K20" s="21"/>
      <c r="L20" s="21"/>
      <c r="M20" s="22"/>
      <c r="N20" s="21"/>
      <c r="O20" s="21" t="s">
        <v>50</v>
      </c>
      <c r="P20" s="23"/>
      <c r="Q20" s="24"/>
      <c r="R20" s="25" t="str">
        <f t="shared" si="1"/>
        <v/>
      </c>
      <c r="S20" s="21"/>
      <c r="T20" s="22"/>
      <c r="U20" s="22"/>
      <c r="V20" s="21"/>
      <c r="W20" s="21" t="s">
        <v>51</v>
      </c>
      <c r="X20" s="21" t="s">
        <v>51</v>
      </c>
      <c r="Y20" s="21" t="s">
        <v>51</v>
      </c>
      <c r="Z20" s="21" t="s">
        <v>51</v>
      </c>
      <c r="AA20" s="10" t="s">
        <v>52</v>
      </c>
      <c r="AC20" s="10" t="s">
        <v>52</v>
      </c>
      <c r="AE20" s="10" t="s">
        <v>52</v>
      </c>
      <c r="AG20" s="21"/>
      <c r="AH20" s="22"/>
      <c r="AI20" s="22"/>
      <c r="AJ20" s="22"/>
      <c r="AK20" s="22"/>
      <c r="AL20" s="22"/>
      <c r="AM20" s="26"/>
      <c r="AN20" s="24"/>
      <c r="AO20" s="22"/>
      <c r="AP20" s="24"/>
      <c r="AQ20" s="22"/>
      <c r="AR20" s="24"/>
      <c r="AS20" s="24"/>
      <c r="AT20" s="27"/>
      <c r="AV20" s="28"/>
      <c r="AW20" s="28"/>
    </row>
    <row r="21" spans="1:49">
      <c r="A21" s="17" t="s">
        <v>46</v>
      </c>
      <c r="B21" s="4" t="s">
        <v>85</v>
      </c>
      <c r="C21" s="4">
        <v>56</v>
      </c>
      <c r="D21" s="4" t="s">
        <v>48</v>
      </c>
      <c r="E21" s="18"/>
      <c r="F21" s="4" t="s">
        <v>82</v>
      </c>
      <c r="G21" s="19">
        <v>44851.4860648148</v>
      </c>
      <c r="H21" s="19">
        <v>44690</v>
      </c>
      <c r="I21" s="19">
        <v>44963</v>
      </c>
      <c r="J21" s="20">
        <f t="shared" si="0"/>
        <v>274</v>
      </c>
      <c r="K21" s="21"/>
      <c r="L21" s="21"/>
      <c r="M21" s="22"/>
      <c r="N21" s="21"/>
      <c r="O21" s="21" t="s">
        <v>50</v>
      </c>
      <c r="P21" s="23"/>
      <c r="Q21" s="24"/>
      <c r="R21" s="25" t="str">
        <f t="shared" ref="R21:R23" si="2">IF(AND(P21&lt;&gt;"",Q21&lt;&gt;""),P21/(Q21/100)^2,"")</f>
        <v/>
      </c>
      <c r="S21" s="21"/>
      <c r="T21" s="22"/>
      <c r="U21" s="22"/>
      <c r="V21" s="21"/>
      <c r="W21" s="21" t="s">
        <v>51</v>
      </c>
      <c r="X21" s="21" t="s">
        <v>51</v>
      </c>
      <c r="Y21" s="21"/>
      <c r="Z21" s="21"/>
      <c r="AA21" s="10" t="s">
        <v>52</v>
      </c>
      <c r="AG21" s="21"/>
      <c r="AH21" s="22"/>
      <c r="AI21" s="22"/>
      <c r="AJ21" s="22"/>
      <c r="AK21" s="22"/>
      <c r="AL21" s="22"/>
      <c r="AM21" s="29" t="s">
        <v>72</v>
      </c>
      <c r="AN21" s="24"/>
      <c r="AO21" s="22"/>
      <c r="AP21" s="24"/>
      <c r="AQ21" s="22"/>
      <c r="AR21" s="24"/>
      <c r="AS21" s="24"/>
      <c r="AT21" s="27"/>
      <c r="AV21" s="28"/>
      <c r="AW21" s="28"/>
    </row>
    <row r="22" spans="1:49">
      <c r="A22" s="17" t="s">
        <v>46</v>
      </c>
      <c r="B22" s="4" t="s">
        <v>86</v>
      </c>
      <c r="C22" s="4">
        <v>34</v>
      </c>
      <c r="D22" s="4" t="s">
        <v>48</v>
      </c>
      <c r="E22" s="18"/>
      <c r="F22" s="4" t="s">
        <v>64</v>
      </c>
      <c r="G22" s="19" t="s">
        <v>57</v>
      </c>
      <c r="H22" s="19">
        <v>44698</v>
      </c>
      <c r="I22" s="19">
        <v>44858</v>
      </c>
      <c r="J22" s="20">
        <f t="shared" si="0"/>
        <v>161</v>
      </c>
      <c r="K22" s="21"/>
      <c r="L22" s="21"/>
      <c r="M22" s="22"/>
      <c r="N22" s="21"/>
      <c r="O22" s="21" t="s">
        <v>50</v>
      </c>
      <c r="P22" s="23"/>
      <c r="Q22" s="24"/>
      <c r="R22" s="25" t="str">
        <f t="shared" si="2"/>
        <v/>
      </c>
      <c r="S22" s="21"/>
      <c r="T22" s="22"/>
      <c r="U22" s="22"/>
      <c r="V22" s="21"/>
      <c r="W22" s="21" t="s">
        <v>51</v>
      </c>
      <c r="X22" s="21" t="s">
        <v>51</v>
      </c>
      <c r="Y22" s="21" t="s">
        <v>51</v>
      </c>
      <c r="Z22" s="21"/>
      <c r="AA22" s="10" t="s">
        <v>52</v>
      </c>
      <c r="AC22" s="10" t="s">
        <v>52</v>
      </c>
      <c r="AG22" s="21"/>
      <c r="AH22" s="22"/>
      <c r="AI22" s="22"/>
      <c r="AJ22" s="22"/>
      <c r="AK22" s="22"/>
      <c r="AL22" s="22"/>
      <c r="AM22" s="29" t="s">
        <v>87</v>
      </c>
      <c r="AN22" s="24"/>
      <c r="AO22" s="22"/>
      <c r="AP22" s="24"/>
      <c r="AQ22" s="22"/>
      <c r="AR22" s="24"/>
      <c r="AS22" s="24"/>
      <c r="AT22" s="27"/>
      <c r="AV22" s="28"/>
      <c r="AW22" s="28"/>
    </row>
    <row r="23" spans="1:49">
      <c r="A23" s="17" t="s">
        <v>46</v>
      </c>
      <c r="B23" s="4" t="s">
        <v>88</v>
      </c>
      <c r="C23" s="4">
        <v>69</v>
      </c>
      <c r="D23" s="4" t="s">
        <v>48</v>
      </c>
      <c r="E23" s="18"/>
      <c r="F23" s="4" t="s">
        <v>56</v>
      </c>
      <c r="G23" s="19" t="s">
        <v>57</v>
      </c>
      <c r="H23" s="19">
        <v>44704</v>
      </c>
      <c r="I23" s="19">
        <v>44907</v>
      </c>
      <c r="J23" s="20">
        <f t="shared" si="0"/>
        <v>204</v>
      </c>
      <c r="K23" s="21"/>
      <c r="L23" s="21"/>
      <c r="M23" s="22"/>
      <c r="N23" s="21"/>
      <c r="O23" s="21" t="s">
        <v>50</v>
      </c>
      <c r="P23" s="23"/>
      <c r="Q23" s="24"/>
      <c r="R23" s="25" t="str">
        <f t="shared" si="2"/>
        <v/>
      </c>
      <c r="S23" s="21"/>
      <c r="T23" s="22"/>
      <c r="U23" s="22"/>
      <c r="V23" s="21"/>
      <c r="W23" s="21" t="s">
        <v>51</v>
      </c>
      <c r="X23" s="21" t="s">
        <v>51</v>
      </c>
      <c r="Y23" s="21" t="s">
        <v>51</v>
      </c>
      <c r="Z23" s="21" t="s">
        <v>51</v>
      </c>
      <c r="AA23" s="10" t="s">
        <v>52</v>
      </c>
      <c r="AC23" s="10" t="s">
        <v>52</v>
      </c>
      <c r="AE23" s="10" t="s">
        <v>52</v>
      </c>
      <c r="AG23" s="21"/>
      <c r="AH23" s="22"/>
      <c r="AI23" s="22"/>
      <c r="AJ23" s="22"/>
      <c r="AK23" s="22"/>
      <c r="AL23" s="22"/>
      <c r="AM23" s="26"/>
      <c r="AN23" s="24"/>
      <c r="AO23" s="22"/>
      <c r="AP23" s="24"/>
      <c r="AQ23" s="22"/>
      <c r="AR23" s="24"/>
      <c r="AS23" s="24"/>
      <c r="AT23" s="27"/>
      <c r="AV23" s="28"/>
      <c r="AW23" s="28"/>
    </row>
    <row r="24" spans="1:49">
      <c r="A24" s="17" t="s">
        <v>46</v>
      </c>
      <c r="B24" s="4" t="s">
        <v>89</v>
      </c>
      <c r="C24" s="4">
        <v>21</v>
      </c>
      <c r="D24" s="4" t="s">
        <v>54</v>
      </c>
      <c r="E24" s="18"/>
      <c r="F24" s="4" t="s">
        <v>49</v>
      </c>
      <c r="G24" s="19" t="s">
        <v>57</v>
      </c>
      <c r="H24" s="19">
        <v>44705</v>
      </c>
      <c r="I24" s="19">
        <v>44889</v>
      </c>
      <c r="J24" s="20">
        <f t="shared" si="0"/>
        <v>185</v>
      </c>
      <c r="K24" s="21"/>
      <c r="L24" s="21"/>
      <c r="M24" s="22"/>
      <c r="N24" s="21"/>
      <c r="O24" s="21" t="s">
        <v>51</v>
      </c>
      <c r="P24" s="23"/>
      <c r="Q24" s="24"/>
      <c r="R24" s="25" t="str">
        <f t="shared" si="1"/>
        <v/>
      </c>
      <c r="S24" s="21"/>
      <c r="T24" s="22"/>
      <c r="U24" s="22"/>
      <c r="V24" s="21"/>
      <c r="W24" s="21" t="s">
        <v>51</v>
      </c>
      <c r="X24" s="21" t="s">
        <v>51</v>
      </c>
      <c r="Y24" s="21" t="s">
        <v>51</v>
      </c>
      <c r="Z24" s="21" t="s">
        <v>51</v>
      </c>
      <c r="AA24" s="10" t="s">
        <v>52</v>
      </c>
      <c r="AC24" s="10" t="s">
        <v>52</v>
      </c>
      <c r="AE24" s="10" t="s">
        <v>52</v>
      </c>
      <c r="AG24" s="21"/>
      <c r="AH24" s="22"/>
      <c r="AI24" s="22"/>
      <c r="AJ24" s="22"/>
      <c r="AK24" s="22"/>
      <c r="AL24" s="22"/>
      <c r="AM24" s="26"/>
      <c r="AN24" s="24"/>
      <c r="AO24" s="22"/>
      <c r="AP24" s="24"/>
      <c r="AQ24" s="22"/>
      <c r="AR24" s="24"/>
      <c r="AS24" s="24"/>
      <c r="AT24" s="27"/>
      <c r="AV24" s="28"/>
      <c r="AW24" s="28"/>
    </row>
    <row r="25" spans="1:49">
      <c r="A25" s="17" t="s">
        <v>46</v>
      </c>
      <c r="B25" s="4" t="s">
        <v>90</v>
      </c>
      <c r="C25" s="4">
        <v>27</v>
      </c>
      <c r="D25" s="4" t="s">
        <v>48</v>
      </c>
      <c r="E25" s="18"/>
      <c r="F25" s="4" t="s">
        <v>56</v>
      </c>
      <c r="G25" s="19" t="s">
        <v>57</v>
      </c>
      <c r="H25" s="19">
        <v>44709</v>
      </c>
      <c r="I25" s="19">
        <v>44893</v>
      </c>
      <c r="J25" s="20">
        <f t="shared" si="0"/>
        <v>185</v>
      </c>
      <c r="K25" s="21"/>
      <c r="L25" s="21"/>
      <c r="M25" s="22"/>
      <c r="N25" s="21"/>
      <c r="O25" s="21" t="s">
        <v>50</v>
      </c>
      <c r="P25" s="23"/>
      <c r="Q25" s="24"/>
      <c r="R25" s="25" t="str">
        <f t="shared" si="1"/>
        <v/>
      </c>
      <c r="S25" s="21"/>
      <c r="T25" s="22"/>
      <c r="U25" s="22"/>
      <c r="V25" s="21"/>
      <c r="W25" s="21" t="s">
        <v>51</v>
      </c>
      <c r="X25" s="21" t="s">
        <v>51</v>
      </c>
      <c r="Y25" s="21" t="s">
        <v>51</v>
      </c>
      <c r="Z25" s="21" t="s">
        <v>51</v>
      </c>
      <c r="AA25" s="10" t="s">
        <v>52</v>
      </c>
      <c r="AC25" s="10" t="s">
        <v>52</v>
      </c>
      <c r="AE25" s="10" t="s">
        <v>52</v>
      </c>
      <c r="AG25" s="21"/>
      <c r="AH25" s="22"/>
      <c r="AI25" s="22"/>
      <c r="AJ25" s="22"/>
      <c r="AK25" s="22"/>
      <c r="AL25" s="22"/>
      <c r="AM25" s="26"/>
      <c r="AN25" s="24"/>
      <c r="AO25" s="22"/>
      <c r="AP25" s="24"/>
      <c r="AQ25" s="22"/>
      <c r="AR25" s="24"/>
      <c r="AS25" s="24"/>
      <c r="AT25" s="27"/>
      <c r="AV25" s="28"/>
      <c r="AW25" s="28"/>
    </row>
    <row r="26" spans="1:49">
      <c r="A26" s="17" t="s">
        <v>46</v>
      </c>
      <c r="B26" s="4" t="s">
        <v>91</v>
      </c>
      <c r="C26" s="4">
        <v>32</v>
      </c>
      <c r="D26" s="4" t="s">
        <v>54</v>
      </c>
      <c r="E26" s="18"/>
      <c r="F26" s="4" t="s">
        <v>64</v>
      </c>
      <c r="G26" s="19" t="s">
        <v>57</v>
      </c>
      <c r="H26" s="19">
        <v>44712</v>
      </c>
      <c r="I26" s="19">
        <v>44903</v>
      </c>
      <c r="J26" s="20">
        <f t="shared" si="0"/>
        <v>192</v>
      </c>
      <c r="K26" s="21"/>
      <c r="L26" s="21"/>
      <c r="M26" s="22"/>
      <c r="N26" s="21"/>
      <c r="O26" s="21" t="s">
        <v>51</v>
      </c>
      <c r="P26" s="23"/>
      <c r="Q26" s="24"/>
      <c r="R26" s="25" t="str">
        <f t="shared" si="1"/>
        <v/>
      </c>
      <c r="S26" s="21"/>
      <c r="T26" s="22"/>
      <c r="U26" s="22"/>
      <c r="V26" s="21"/>
      <c r="W26" s="21" t="s">
        <v>51</v>
      </c>
      <c r="X26" s="21" t="s">
        <v>51</v>
      </c>
      <c r="Y26" s="21" t="s">
        <v>51</v>
      </c>
      <c r="Z26" s="21" t="s">
        <v>51</v>
      </c>
      <c r="AA26" s="10" t="s">
        <v>52</v>
      </c>
      <c r="AC26" s="10" t="s">
        <v>52</v>
      </c>
      <c r="AE26" s="10" t="s">
        <v>52</v>
      </c>
      <c r="AG26" s="21"/>
      <c r="AH26" s="22"/>
      <c r="AI26" s="22"/>
      <c r="AJ26" s="22"/>
      <c r="AK26" s="22"/>
      <c r="AL26" s="22"/>
      <c r="AM26" s="26"/>
      <c r="AN26" s="24"/>
      <c r="AO26" s="22"/>
      <c r="AP26" s="24"/>
      <c r="AQ26" s="22"/>
      <c r="AR26" s="24"/>
      <c r="AS26" s="24"/>
      <c r="AT26" s="27"/>
      <c r="AV26" s="28"/>
      <c r="AW26" s="28"/>
    </row>
    <row r="27" spans="1:49">
      <c r="A27" s="17" t="s">
        <v>46</v>
      </c>
      <c r="B27" s="4" t="s">
        <v>92</v>
      </c>
      <c r="C27" s="4">
        <v>59</v>
      </c>
      <c r="D27" s="4" t="s">
        <v>48</v>
      </c>
      <c r="E27" s="18"/>
      <c r="F27" s="4" t="s">
        <v>49</v>
      </c>
      <c r="G27" s="19">
        <v>44866.6254166667</v>
      </c>
      <c r="H27" s="19">
        <v>44712</v>
      </c>
      <c r="I27" s="19">
        <v>44885</v>
      </c>
      <c r="J27" s="20">
        <f t="shared" si="0"/>
        <v>174</v>
      </c>
      <c r="K27" s="21"/>
      <c r="L27" s="21"/>
      <c r="M27" s="22"/>
      <c r="N27" s="21"/>
      <c r="O27" s="21" t="s">
        <v>51</v>
      </c>
      <c r="P27" s="23"/>
      <c r="Q27" s="24"/>
      <c r="R27" s="25" t="str">
        <f t="shared" si="1"/>
        <v/>
      </c>
      <c r="S27" s="21"/>
      <c r="T27" s="22"/>
      <c r="U27" s="22"/>
      <c r="V27" s="21"/>
      <c r="W27" s="21" t="s">
        <v>51</v>
      </c>
      <c r="X27" s="21" t="s">
        <v>51</v>
      </c>
      <c r="Y27" s="21" t="s">
        <v>51</v>
      </c>
      <c r="Z27" s="21" t="s">
        <v>51</v>
      </c>
      <c r="AA27" s="10" t="s">
        <v>52</v>
      </c>
      <c r="AC27" s="10" t="s">
        <v>52</v>
      </c>
      <c r="AE27" s="10" t="s">
        <v>52</v>
      </c>
      <c r="AG27" s="21"/>
      <c r="AH27" s="22"/>
      <c r="AI27" s="22"/>
      <c r="AJ27" s="22"/>
      <c r="AK27" s="22"/>
      <c r="AL27" s="22"/>
      <c r="AM27" s="26"/>
      <c r="AN27" s="24"/>
      <c r="AO27" s="22"/>
      <c r="AP27" s="24"/>
      <c r="AQ27" s="22"/>
      <c r="AR27" s="24"/>
      <c r="AS27" s="24"/>
      <c r="AT27" s="27"/>
      <c r="AV27" s="28"/>
      <c r="AW27" s="28"/>
    </row>
    <row r="28" spans="1:49">
      <c r="A28" s="17" t="s">
        <v>46</v>
      </c>
      <c r="B28" s="4" t="s">
        <v>93</v>
      </c>
      <c r="C28" s="4">
        <v>68</v>
      </c>
      <c r="D28" s="4" t="s">
        <v>54</v>
      </c>
      <c r="E28" s="18"/>
      <c r="F28" s="4" t="s">
        <v>49</v>
      </c>
      <c r="G28" s="19">
        <v>44893.6533217593</v>
      </c>
      <c r="H28" s="19">
        <v>44714</v>
      </c>
      <c r="I28" s="19">
        <v>44896</v>
      </c>
      <c r="J28" s="20">
        <f t="shared" si="0"/>
        <v>183</v>
      </c>
      <c r="K28" s="21"/>
      <c r="L28" s="21"/>
      <c r="M28" s="22"/>
      <c r="N28" s="21"/>
      <c r="O28" s="21" t="s">
        <v>50</v>
      </c>
      <c r="P28" s="23"/>
      <c r="Q28" s="24"/>
      <c r="R28" s="25" t="str">
        <f t="shared" si="1"/>
        <v/>
      </c>
      <c r="S28" s="21"/>
      <c r="T28" s="22"/>
      <c r="U28" s="22"/>
      <c r="V28" s="21"/>
      <c r="W28" s="21" t="s">
        <v>51</v>
      </c>
      <c r="X28" s="21" t="s">
        <v>51</v>
      </c>
      <c r="Y28" s="21" t="s">
        <v>51</v>
      </c>
      <c r="Z28" s="21" t="s">
        <v>51</v>
      </c>
      <c r="AA28" s="10" t="s">
        <v>52</v>
      </c>
      <c r="AC28" s="10" t="s">
        <v>52</v>
      </c>
      <c r="AE28" s="10" t="s">
        <v>52</v>
      </c>
      <c r="AG28" s="21"/>
      <c r="AH28" s="22"/>
      <c r="AI28" s="22"/>
      <c r="AJ28" s="22"/>
      <c r="AK28" s="22"/>
      <c r="AL28" s="22"/>
      <c r="AM28" s="26"/>
      <c r="AN28" s="24"/>
      <c r="AO28" s="22"/>
      <c r="AP28" s="24"/>
      <c r="AQ28" s="22"/>
      <c r="AR28" s="24"/>
      <c r="AS28" s="24"/>
      <c r="AT28" s="27"/>
      <c r="AV28" s="28"/>
      <c r="AW28" s="28"/>
    </row>
    <row r="29" spans="1:49">
      <c r="A29" s="17" t="s">
        <v>46</v>
      </c>
      <c r="B29" s="4" t="s">
        <v>94</v>
      </c>
      <c r="C29" s="4">
        <v>72</v>
      </c>
      <c r="D29" s="4" t="s">
        <v>54</v>
      </c>
      <c r="E29" s="18"/>
      <c r="F29" s="4" t="s">
        <v>56</v>
      </c>
      <c r="G29" s="19" t="s">
        <v>57</v>
      </c>
      <c r="H29" s="19">
        <v>44714</v>
      </c>
      <c r="I29" s="19">
        <v>44896</v>
      </c>
      <c r="J29" s="20">
        <f t="shared" si="0"/>
        <v>183</v>
      </c>
      <c r="K29" s="21"/>
      <c r="L29" s="21"/>
      <c r="M29" s="22"/>
      <c r="N29" s="21"/>
      <c r="O29" s="21" t="s">
        <v>51</v>
      </c>
      <c r="P29" s="23"/>
      <c r="Q29" s="24"/>
      <c r="R29" s="25" t="str">
        <f t="shared" si="1"/>
        <v/>
      </c>
      <c r="S29" s="21"/>
      <c r="T29" s="22"/>
      <c r="U29" s="22"/>
      <c r="V29" s="21"/>
      <c r="W29" s="21" t="s">
        <v>51</v>
      </c>
      <c r="X29" s="21" t="s">
        <v>51</v>
      </c>
      <c r="Y29" s="21" t="s">
        <v>51</v>
      </c>
      <c r="Z29" s="21" t="s">
        <v>51</v>
      </c>
      <c r="AA29" s="10" t="s">
        <v>52</v>
      </c>
      <c r="AC29" s="10" t="s">
        <v>52</v>
      </c>
      <c r="AE29" s="10" t="s">
        <v>52</v>
      </c>
      <c r="AG29" s="21"/>
      <c r="AH29" s="22"/>
      <c r="AI29" s="22"/>
      <c r="AJ29" s="22"/>
      <c r="AK29" s="22"/>
      <c r="AL29" s="22"/>
      <c r="AM29" s="26"/>
      <c r="AN29" s="24"/>
      <c r="AO29" s="22"/>
      <c r="AP29" s="24"/>
      <c r="AQ29" s="22"/>
      <c r="AR29" s="24"/>
      <c r="AS29" s="24"/>
      <c r="AT29" s="27"/>
      <c r="AV29" s="28"/>
      <c r="AW29" s="28"/>
    </row>
    <row r="30" spans="1:49">
      <c r="A30" s="17" t="s">
        <v>46</v>
      </c>
      <c r="B30" s="4" t="s">
        <v>95</v>
      </c>
      <c r="C30" s="21">
        <v>48</v>
      </c>
      <c r="D30" s="21" t="s">
        <v>48</v>
      </c>
      <c r="E30" s="18"/>
      <c r="F30" s="4" t="s">
        <v>56</v>
      </c>
      <c r="G30" s="19" t="s">
        <v>57</v>
      </c>
      <c r="H30" s="19">
        <v>44714</v>
      </c>
      <c r="I30" s="19"/>
      <c r="J30" s="20" t="str">
        <f t="shared" si="0"/>
        <v/>
      </c>
      <c r="K30" s="21"/>
      <c r="L30" s="21"/>
      <c r="M30" s="22"/>
      <c r="N30" s="21"/>
      <c r="O30" s="21" t="s">
        <v>50</v>
      </c>
      <c r="P30" s="23"/>
      <c r="Q30" s="24"/>
      <c r="R30" s="25" t="str">
        <f t="shared" si="1"/>
        <v/>
      </c>
      <c r="S30" s="21"/>
      <c r="T30" s="22"/>
      <c r="U30" s="22"/>
      <c r="V30" s="21"/>
      <c r="W30" s="21"/>
      <c r="X30" s="21"/>
      <c r="Y30" s="21"/>
      <c r="Z30" s="21"/>
      <c r="AG30" s="21"/>
      <c r="AH30" s="22"/>
      <c r="AI30" s="22"/>
      <c r="AJ30" s="22"/>
      <c r="AK30" s="22"/>
      <c r="AL30" s="22"/>
      <c r="AM30" s="29" t="s">
        <v>96</v>
      </c>
      <c r="AN30" s="24"/>
      <c r="AO30" s="22"/>
      <c r="AP30" s="24"/>
      <c r="AQ30" s="22"/>
      <c r="AR30" s="24"/>
      <c r="AS30" s="24"/>
      <c r="AT30" s="27"/>
      <c r="AV30" s="28"/>
      <c r="AW30" s="28"/>
    </row>
    <row r="31" spans="1:49">
      <c r="A31" s="17" t="s">
        <v>46</v>
      </c>
      <c r="B31" s="4" t="s">
        <v>97</v>
      </c>
      <c r="C31" s="4">
        <v>38</v>
      </c>
      <c r="D31" s="4" t="s">
        <v>54</v>
      </c>
      <c r="E31" s="18"/>
      <c r="F31" s="4" t="s">
        <v>56</v>
      </c>
      <c r="G31" s="19" t="s">
        <v>57</v>
      </c>
      <c r="H31" s="19">
        <v>44714</v>
      </c>
      <c r="I31" s="19">
        <v>45011</v>
      </c>
      <c r="J31" s="20">
        <f t="shared" si="0"/>
        <v>298</v>
      </c>
      <c r="K31" s="21"/>
      <c r="L31" s="21"/>
      <c r="M31" s="22"/>
      <c r="N31" s="21"/>
      <c r="O31" s="21" t="s">
        <v>51</v>
      </c>
      <c r="P31" s="23"/>
      <c r="Q31" s="24"/>
      <c r="R31" s="25" t="str">
        <f t="shared" si="1"/>
        <v/>
      </c>
      <c r="S31" s="21"/>
      <c r="T31" s="22"/>
      <c r="U31" s="22"/>
      <c r="V31" s="21"/>
      <c r="W31" s="21" t="s">
        <v>51</v>
      </c>
      <c r="X31" s="21" t="s">
        <v>51</v>
      </c>
      <c r="Y31" s="21" t="s">
        <v>51</v>
      </c>
      <c r="Z31" s="21" t="s">
        <v>51</v>
      </c>
      <c r="AA31" s="10" t="s">
        <v>52</v>
      </c>
      <c r="AC31" s="10" t="s">
        <v>52</v>
      </c>
      <c r="AE31" s="10" t="s">
        <v>52</v>
      </c>
      <c r="AG31" s="21"/>
      <c r="AH31" s="22"/>
      <c r="AI31" s="22"/>
      <c r="AJ31" s="22"/>
      <c r="AK31" s="22"/>
      <c r="AL31" s="22"/>
      <c r="AM31" s="26"/>
      <c r="AN31" s="24"/>
      <c r="AO31" s="22"/>
      <c r="AP31" s="24"/>
      <c r="AQ31" s="22"/>
      <c r="AR31" s="24"/>
      <c r="AS31" s="24"/>
      <c r="AT31" s="27"/>
      <c r="AV31" s="28"/>
      <c r="AW31" s="28"/>
    </row>
    <row r="32" spans="1:49">
      <c r="A32" s="17" t="s">
        <v>46</v>
      </c>
      <c r="B32" s="4" t="s">
        <v>98</v>
      </c>
      <c r="C32" s="4">
        <v>60</v>
      </c>
      <c r="D32" s="4" t="s">
        <v>48</v>
      </c>
      <c r="E32" s="18"/>
      <c r="F32" s="4" t="s">
        <v>49</v>
      </c>
      <c r="G32" s="19" t="s">
        <v>57</v>
      </c>
      <c r="H32" s="19">
        <v>44721</v>
      </c>
      <c r="I32" s="19">
        <v>44903</v>
      </c>
      <c r="J32" s="20">
        <f t="shared" si="0"/>
        <v>183</v>
      </c>
      <c r="K32" s="21"/>
      <c r="L32" s="21"/>
      <c r="M32" s="22"/>
      <c r="N32" s="21"/>
      <c r="O32" s="21" t="s">
        <v>50</v>
      </c>
      <c r="P32" s="23"/>
      <c r="Q32" s="24"/>
      <c r="R32" s="25" t="str">
        <f t="shared" si="1"/>
        <v/>
      </c>
      <c r="S32" s="21"/>
      <c r="T32" s="22"/>
      <c r="U32" s="22"/>
      <c r="V32" s="21"/>
      <c r="W32" s="21" t="s">
        <v>51</v>
      </c>
      <c r="X32" s="21" t="s">
        <v>51</v>
      </c>
      <c r="Y32" s="21" t="s">
        <v>51</v>
      </c>
      <c r="Z32" s="21" t="s">
        <v>51</v>
      </c>
      <c r="AA32" s="10" t="s">
        <v>52</v>
      </c>
      <c r="AC32" s="10" t="s">
        <v>52</v>
      </c>
      <c r="AE32" s="10" t="s">
        <v>52</v>
      </c>
      <c r="AG32" s="21"/>
      <c r="AH32" s="22"/>
      <c r="AI32" s="22"/>
      <c r="AJ32" s="22"/>
      <c r="AK32" s="22"/>
      <c r="AL32" s="22"/>
      <c r="AM32" s="26"/>
      <c r="AN32" s="24"/>
      <c r="AO32" s="22"/>
      <c r="AP32" s="24"/>
      <c r="AQ32" s="22"/>
      <c r="AR32" s="24"/>
      <c r="AS32" s="24"/>
      <c r="AT32" s="27"/>
      <c r="AV32" s="28"/>
      <c r="AW32" s="28"/>
    </row>
    <row r="33" spans="1:49">
      <c r="A33" s="17" t="s">
        <v>46</v>
      </c>
      <c r="B33" s="4" t="s">
        <v>99</v>
      </c>
      <c r="C33" s="4">
        <v>66</v>
      </c>
      <c r="D33" s="4" t="s">
        <v>54</v>
      </c>
      <c r="E33" s="18"/>
      <c r="F33" s="4" t="s">
        <v>49</v>
      </c>
      <c r="G33" s="19">
        <v>44887.6318287037</v>
      </c>
      <c r="H33" s="19">
        <v>44722</v>
      </c>
      <c r="I33" s="19">
        <v>44910</v>
      </c>
      <c r="J33" s="20">
        <f t="shared" si="0"/>
        <v>189</v>
      </c>
      <c r="K33" s="21"/>
      <c r="L33" s="21"/>
      <c r="M33" s="22"/>
      <c r="N33" s="21"/>
      <c r="O33" s="21" t="s">
        <v>50</v>
      </c>
      <c r="P33" s="23"/>
      <c r="Q33" s="24"/>
      <c r="R33" s="25" t="str">
        <f t="shared" si="1"/>
        <v/>
      </c>
      <c r="S33" s="21"/>
      <c r="T33" s="22"/>
      <c r="U33" s="22"/>
      <c r="V33" s="21"/>
      <c r="W33" s="21" t="s">
        <v>51</v>
      </c>
      <c r="X33" s="21" t="s">
        <v>51</v>
      </c>
      <c r="Y33" s="21" t="s">
        <v>51</v>
      </c>
      <c r="Z33" s="21" t="s">
        <v>51</v>
      </c>
      <c r="AA33" s="10" t="s">
        <v>52</v>
      </c>
      <c r="AC33" s="10" t="s">
        <v>52</v>
      </c>
      <c r="AE33" s="10" t="s">
        <v>52</v>
      </c>
      <c r="AG33" s="21"/>
      <c r="AH33" s="22"/>
      <c r="AI33" s="22"/>
      <c r="AJ33" s="22"/>
      <c r="AK33" s="22"/>
      <c r="AL33" s="22"/>
      <c r="AM33" s="26"/>
      <c r="AN33" s="24"/>
      <c r="AO33" s="22"/>
      <c r="AP33" s="24"/>
      <c r="AQ33" s="22"/>
      <c r="AR33" s="24"/>
      <c r="AS33" s="24"/>
      <c r="AT33" s="27"/>
      <c r="AV33" s="28"/>
      <c r="AW33" s="28"/>
    </row>
    <row r="34" spans="1:49">
      <c r="A34" s="17" t="s">
        <v>46</v>
      </c>
      <c r="B34" s="4" t="s">
        <v>100</v>
      </c>
      <c r="C34" s="4">
        <v>57</v>
      </c>
      <c r="D34" s="4" t="s">
        <v>48</v>
      </c>
      <c r="E34" s="18"/>
      <c r="F34" s="4" t="s">
        <v>82</v>
      </c>
      <c r="G34" s="19" t="s">
        <v>57</v>
      </c>
      <c r="H34" s="19">
        <v>44723</v>
      </c>
      <c r="I34" s="19"/>
      <c r="J34" s="20" t="str">
        <f t="shared" si="0"/>
        <v/>
      </c>
      <c r="K34" s="21"/>
      <c r="L34" s="21"/>
      <c r="M34" s="22"/>
      <c r="N34" s="21"/>
      <c r="O34" s="21" t="s">
        <v>50</v>
      </c>
      <c r="P34" s="23"/>
      <c r="Q34" s="24"/>
      <c r="R34" s="25" t="str">
        <f t="shared" si="1"/>
        <v/>
      </c>
      <c r="S34" s="21"/>
      <c r="T34" s="22"/>
      <c r="U34" s="22"/>
      <c r="V34" s="21"/>
      <c r="W34" s="21"/>
      <c r="X34" s="21"/>
      <c r="Y34" s="21"/>
      <c r="Z34" s="21"/>
      <c r="AG34" s="21"/>
      <c r="AH34" s="22"/>
      <c r="AI34" s="22"/>
      <c r="AJ34" s="22"/>
      <c r="AK34" s="22"/>
      <c r="AL34" s="22"/>
      <c r="AM34" s="29" t="s">
        <v>101</v>
      </c>
      <c r="AN34" s="24"/>
      <c r="AO34" s="22"/>
      <c r="AP34" s="24"/>
      <c r="AQ34" s="22"/>
      <c r="AR34" s="24"/>
      <c r="AS34" s="24"/>
      <c r="AT34" s="27"/>
      <c r="AV34" s="28"/>
      <c r="AW34" s="28"/>
    </row>
    <row r="35" spans="1:49">
      <c r="A35" s="17" t="s">
        <v>46</v>
      </c>
      <c r="B35" s="4" t="s">
        <v>102</v>
      </c>
      <c r="C35" s="4">
        <v>60</v>
      </c>
      <c r="D35" s="4" t="s">
        <v>54</v>
      </c>
      <c r="E35" s="18"/>
      <c r="F35" s="4" t="s">
        <v>64</v>
      </c>
      <c r="G35" s="19" t="s">
        <v>57</v>
      </c>
      <c r="H35" s="19">
        <v>44727</v>
      </c>
      <c r="I35" s="19"/>
      <c r="J35" s="20" t="str">
        <f t="shared" si="0"/>
        <v/>
      </c>
      <c r="K35" s="21"/>
      <c r="L35" s="21"/>
      <c r="M35" s="22"/>
      <c r="N35" s="21"/>
      <c r="O35" s="21" t="s">
        <v>50</v>
      </c>
      <c r="P35" s="23"/>
      <c r="Q35" s="24"/>
      <c r="R35" s="25" t="str">
        <f t="shared" si="1"/>
        <v/>
      </c>
      <c r="S35" s="21"/>
      <c r="T35" s="22"/>
      <c r="U35" s="22"/>
      <c r="V35" s="21"/>
      <c r="W35" s="21" t="s">
        <v>50</v>
      </c>
      <c r="X35" s="21"/>
      <c r="Y35" s="21"/>
      <c r="Z35" s="21"/>
      <c r="AG35" s="21"/>
      <c r="AH35" s="22"/>
      <c r="AI35" s="22"/>
      <c r="AJ35" s="22"/>
      <c r="AK35" s="22"/>
      <c r="AL35" s="22"/>
      <c r="AM35" s="29" t="s">
        <v>96</v>
      </c>
      <c r="AN35" s="24"/>
      <c r="AO35" s="22"/>
      <c r="AP35" s="24"/>
      <c r="AQ35" s="22"/>
      <c r="AR35" s="24"/>
      <c r="AS35" s="24"/>
      <c r="AT35" s="27"/>
      <c r="AV35" s="28"/>
      <c r="AW35" s="28"/>
    </row>
    <row r="36" spans="1:49">
      <c r="A36" s="17" t="s">
        <v>46</v>
      </c>
      <c r="B36" s="4" t="s">
        <v>103</v>
      </c>
      <c r="C36" s="4">
        <v>52</v>
      </c>
      <c r="D36" s="4" t="s">
        <v>48</v>
      </c>
      <c r="E36" s="18"/>
      <c r="F36" s="4" t="s">
        <v>49</v>
      </c>
      <c r="G36" s="19">
        <v>44910.3859606481</v>
      </c>
      <c r="H36" s="19">
        <v>44728</v>
      </c>
      <c r="I36" s="19"/>
      <c r="J36" s="20" t="str">
        <f t="shared" si="0"/>
        <v/>
      </c>
      <c r="K36" s="21"/>
      <c r="L36" s="21"/>
      <c r="M36" s="22"/>
      <c r="N36" s="21"/>
      <c r="O36" s="21" t="s">
        <v>50</v>
      </c>
      <c r="P36" s="23"/>
      <c r="Q36" s="24"/>
      <c r="R36" s="25" t="str">
        <f t="shared" si="1"/>
        <v/>
      </c>
      <c r="S36" s="21"/>
      <c r="T36" s="22"/>
      <c r="U36" s="22"/>
      <c r="V36" s="21"/>
      <c r="W36" s="21" t="s">
        <v>51</v>
      </c>
      <c r="X36" s="21"/>
      <c r="Y36" s="21"/>
      <c r="Z36" s="21"/>
      <c r="AG36" s="21"/>
      <c r="AH36" s="22"/>
      <c r="AI36" s="22"/>
      <c r="AJ36" s="22"/>
      <c r="AK36" s="22"/>
      <c r="AL36" s="22"/>
      <c r="AM36" s="29" t="s">
        <v>104</v>
      </c>
      <c r="AN36" s="24"/>
      <c r="AO36" s="22"/>
      <c r="AP36" s="24"/>
      <c r="AQ36" s="22"/>
      <c r="AR36" s="24"/>
      <c r="AS36" s="24"/>
      <c r="AT36" s="27"/>
      <c r="AV36" s="28"/>
      <c r="AW36" s="28"/>
    </row>
    <row r="37" spans="1:49">
      <c r="A37" s="17" t="s">
        <v>46</v>
      </c>
      <c r="B37" s="4" t="s">
        <v>105</v>
      </c>
      <c r="C37" s="4">
        <v>21</v>
      </c>
      <c r="D37" s="4" t="s">
        <v>48</v>
      </c>
      <c r="E37" s="18"/>
      <c r="F37" s="4" t="s">
        <v>78</v>
      </c>
      <c r="G37" s="19" t="s">
        <v>57</v>
      </c>
      <c r="H37" s="19">
        <v>44728</v>
      </c>
      <c r="I37" s="19"/>
      <c r="J37" s="20" t="str">
        <f t="shared" si="0"/>
        <v/>
      </c>
      <c r="K37" s="21"/>
      <c r="L37" s="21"/>
      <c r="M37" s="22"/>
      <c r="N37" s="21"/>
      <c r="O37" s="21" t="s">
        <v>50</v>
      </c>
      <c r="P37" s="23"/>
      <c r="Q37" s="24"/>
      <c r="R37" s="25" t="str">
        <f t="shared" si="1"/>
        <v/>
      </c>
      <c r="S37" s="21"/>
      <c r="T37" s="22"/>
      <c r="U37" s="22"/>
      <c r="V37" s="21"/>
      <c r="W37" s="21" t="s">
        <v>51</v>
      </c>
      <c r="X37" s="21"/>
      <c r="Y37" s="21"/>
      <c r="Z37" s="21"/>
      <c r="AG37" s="21"/>
      <c r="AH37" s="22"/>
      <c r="AI37" s="22"/>
      <c r="AJ37" s="22"/>
      <c r="AK37" s="22"/>
      <c r="AL37" s="22"/>
      <c r="AM37" s="29" t="s">
        <v>59</v>
      </c>
      <c r="AN37" s="24"/>
      <c r="AO37" s="22"/>
      <c r="AP37" s="24"/>
      <c r="AQ37" s="22"/>
      <c r="AR37" s="24"/>
      <c r="AS37" s="24"/>
      <c r="AT37" s="27"/>
      <c r="AV37" s="28"/>
      <c r="AW37" s="28"/>
    </row>
    <row r="38" spans="1:49">
      <c r="A38" s="17" t="s">
        <v>46</v>
      </c>
      <c r="B38" s="4" t="s">
        <v>106</v>
      </c>
      <c r="C38" s="4">
        <v>43</v>
      </c>
      <c r="D38" s="4" t="s">
        <v>54</v>
      </c>
      <c r="E38" s="18"/>
      <c r="F38" s="4" t="s">
        <v>56</v>
      </c>
      <c r="G38" s="19" t="s">
        <v>57</v>
      </c>
      <c r="H38" s="19">
        <v>44740</v>
      </c>
      <c r="I38" s="19">
        <v>44941</v>
      </c>
      <c r="J38" s="20">
        <f t="shared" si="0"/>
        <v>202</v>
      </c>
      <c r="K38" s="21"/>
      <c r="L38" s="21"/>
      <c r="M38" s="22"/>
      <c r="N38" s="21"/>
      <c r="O38" s="21" t="s">
        <v>50</v>
      </c>
      <c r="P38" s="23"/>
      <c r="Q38" s="24"/>
      <c r="R38" s="25" t="str">
        <f t="shared" si="1"/>
        <v/>
      </c>
      <c r="S38" s="21"/>
      <c r="T38" s="22"/>
      <c r="U38" s="22"/>
      <c r="V38" s="21"/>
      <c r="W38" s="21" t="s">
        <v>51</v>
      </c>
      <c r="X38" s="21" t="s">
        <v>51</v>
      </c>
      <c r="Y38" s="21" t="s">
        <v>51</v>
      </c>
      <c r="Z38" s="21" t="s">
        <v>51</v>
      </c>
      <c r="AA38" s="10" t="s">
        <v>52</v>
      </c>
      <c r="AC38" s="10" t="s">
        <v>52</v>
      </c>
      <c r="AE38" s="10" t="s">
        <v>52</v>
      </c>
      <c r="AG38" s="21"/>
      <c r="AH38" s="22"/>
      <c r="AI38" s="22"/>
      <c r="AJ38" s="22"/>
      <c r="AK38" s="22"/>
      <c r="AL38" s="22"/>
      <c r="AM38" s="26"/>
      <c r="AN38" s="24"/>
      <c r="AO38" s="22"/>
      <c r="AP38" s="24"/>
      <c r="AQ38" s="22"/>
      <c r="AR38" s="24"/>
      <c r="AS38" s="24"/>
      <c r="AT38" s="27"/>
      <c r="AV38" s="28"/>
      <c r="AW38" s="28"/>
    </row>
    <row r="39" ht="16.5" customHeight="1" spans="1:49">
      <c r="A39" s="17" t="s">
        <v>46</v>
      </c>
      <c r="B39" s="4" t="s">
        <v>107</v>
      </c>
      <c r="C39" s="4">
        <v>72</v>
      </c>
      <c r="D39" s="4" t="s">
        <v>48</v>
      </c>
      <c r="E39" s="18"/>
      <c r="F39" s="4" t="s">
        <v>56</v>
      </c>
      <c r="G39" s="19" t="s">
        <v>57</v>
      </c>
      <c r="H39" s="19">
        <v>44749</v>
      </c>
      <c r="I39" s="19">
        <v>45161</v>
      </c>
      <c r="J39" s="20">
        <f t="shared" si="0"/>
        <v>413</v>
      </c>
      <c r="K39" s="21"/>
      <c r="L39" s="21"/>
      <c r="M39" s="22"/>
      <c r="N39" s="21"/>
      <c r="O39" s="21" t="s">
        <v>50</v>
      </c>
      <c r="P39" s="23"/>
      <c r="Q39" s="24"/>
      <c r="R39" s="25" t="str">
        <f t="shared" si="1"/>
        <v/>
      </c>
      <c r="S39" s="21"/>
      <c r="T39" s="22"/>
      <c r="U39" s="22"/>
      <c r="V39" s="21"/>
      <c r="W39" s="21" t="s">
        <v>51</v>
      </c>
      <c r="X39" s="21" t="s">
        <v>51</v>
      </c>
      <c r="Y39" s="21"/>
      <c r="Z39" s="21"/>
      <c r="AA39" s="10" t="s">
        <v>108</v>
      </c>
      <c r="AB39" s="10" t="s">
        <v>109</v>
      </c>
      <c r="AG39" s="21"/>
      <c r="AH39" s="22"/>
      <c r="AI39" s="22"/>
      <c r="AJ39" s="22"/>
      <c r="AK39" s="22"/>
      <c r="AL39" s="22"/>
      <c r="AM39" s="29" t="s">
        <v>110</v>
      </c>
      <c r="AN39" s="24"/>
      <c r="AO39" s="22"/>
      <c r="AP39" s="24"/>
      <c r="AQ39" s="22"/>
      <c r="AR39" s="24"/>
      <c r="AS39" s="24"/>
      <c r="AT39" s="27"/>
      <c r="AV39" s="28"/>
      <c r="AW39" s="28"/>
    </row>
    <row r="40" spans="1:49">
      <c r="A40" s="17" t="s">
        <v>46</v>
      </c>
      <c r="B40" s="4" t="s">
        <v>111</v>
      </c>
      <c r="C40" s="4">
        <v>38</v>
      </c>
      <c r="D40" s="4" t="s">
        <v>48</v>
      </c>
      <c r="E40" s="18"/>
      <c r="F40" s="4" t="s">
        <v>49</v>
      </c>
      <c r="G40" s="19">
        <v>44925.4415856482</v>
      </c>
      <c r="H40" s="19">
        <v>44755</v>
      </c>
      <c r="I40" s="19">
        <v>45035</v>
      </c>
      <c r="J40" s="20">
        <f t="shared" si="0"/>
        <v>281</v>
      </c>
      <c r="K40" s="21"/>
      <c r="L40" s="21"/>
      <c r="M40" s="22"/>
      <c r="N40" s="21"/>
      <c r="O40" s="21" t="s">
        <v>50</v>
      </c>
      <c r="P40" s="23"/>
      <c r="Q40" s="24"/>
      <c r="R40" s="25" t="str">
        <f t="shared" si="1"/>
        <v/>
      </c>
      <c r="S40" s="21"/>
      <c r="T40" s="22"/>
      <c r="U40" s="22"/>
      <c r="V40" s="21"/>
      <c r="W40" s="21" t="s">
        <v>51</v>
      </c>
      <c r="X40" s="21" t="s">
        <v>51</v>
      </c>
      <c r="Y40" s="21" t="s">
        <v>51</v>
      </c>
      <c r="Z40" s="21" t="s">
        <v>51</v>
      </c>
      <c r="AA40" s="10" t="s">
        <v>52</v>
      </c>
      <c r="AC40" s="10" t="s">
        <v>52</v>
      </c>
      <c r="AE40" s="10" t="s">
        <v>52</v>
      </c>
      <c r="AG40" s="21"/>
      <c r="AH40" s="22"/>
      <c r="AI40" s="22"/>
      <c r="AJ40" s="22"/>
      <c r="AK40" s="22"/>
      <c r="AL40" s="22"/>
      <c r="AM40" s="26"/>
      <c r="AN40" s="24"/>
      <c r="AO40" s="22"/>
      <c r="AP40" s="24"/>
      <c r="AQ40" s="22"/>
      <c r="AR40" s="24"/>
      <c r="AS40" s="24"/>
      <c r="AT40" s="27"/>
      <c r="AV40" s="28"/>
      <c r="AW40" s="28"/>
    </row>
    <row r="41" spans="1:49">
      <c r="A41" s="17" t="s">
        <v>46</v>
      </c>
      <c r="B41" s="4" t="s">
        <v>112</v>
      </c>
      <c r="C41" s="4">
        <v>32</v>
      </c>
      <c r="D41" s="4" t="s">
        <v>48</v>
      </c>
      <c r="E41" s="18"/>
      <c r="F41" s="4" t="s">
        <v>56</v>
      </c>
      <c r="G41" s="19" t="s">
        <v>57</v>
      </c>
      <c r="H41" s="19">
        <v>44759</v>
      </c>
      <c r="I41" s="19">
        <v>44941</v>
      </c>
      <c r="J41" s="20">
        <f t="shared" si="0"/>
        <v>183</v>
      </c>
      <c r="K41" s="21"/>
      <c r="L41" s="21"/>
      <c r="M41" s="22"/>
      <c r="N41" s="21"/>
      <c r="O41" s="21" t="s">
        <v>50</v>
      </c>
      <c r="P41" s="23"/>
      <c r="Q41" s="24"/>
      <c r="R41" s="25" t="str">
        <f t="shared" si="1"/>
        <v/>
      </c>
      <c r="S41" s="21"/>
      <c r="T41" s="22"/>
      <c r="U41" s="22"/>
      <c r="V41" s="21"/>
      <c r="W41" s="21" t="s">
        <v>51</v>
      </c>
      <c r="X41" s="21" t="s">
        <v>51</v>
      </c>
      <c r="Y41" s="21" t="s">
        <v>51</v>
      </c>
      <c r="Z41" s="21" t="s">
        <v>51</v>
      </c>
      <c r="AA41" s="10" t="s">
        <v>52</v>
      </c>
      <c r="AC41" s="10" t="s">
        <v>52</v>
      </c>
      <c r="AE41" s="10" t="s">
        <v>52</v>
      </c>
      <c r="AG41" s="21"/>
      <c r="AH41" s="22"/>
      <c r="AI41" s="22"/>
      <c r="AJ41" s="22"/>
      <c r="AK41" s="22"/>
      <c r="AL41" s="22"/>
      <c r="AM41" s="26"/>
      <c r="AN41" s="24"/>
      <c r="AO41" s="22"/>
      <c r="AP41" s="24"/>
      <c r="AQ41" s="22"/>
      <c r="AR41" s="24"/>
      <c r="AS41" s="24"/>
      <c r="AT41" s="27"/>
      <c r="AV41" s="28"/>
      <c r="AW41" s="28"/>
    </row>
    <row r="42" spans="1:49">
      <c r="A42" s="17" t="s">
        <v>46</v>
      </c>
      <c r="B42" s="4" t="s">
        <v>113</v>
      </c>
      <c r="C42" s="4">
        <v>34</v>
      </c>
      <c r="D42" s="4" t="s">
        <v>54</v>
      </c>
      <c r="E42" s="18"/>
      <c r="F42" s="4" t="s">
        <v>56</v>
      </c>
      <c r="G42" s="19" t="s">
        <v>57</v>
      </c>
      <c r="H42" s="19">
        <v>44770</v>
      </c>
      <c r="I42" s="19">
        <v>44955</v>
      </c>
      <c r="J42" s="20">
        <f t="shared" si="0"/>
        <v>186</v>
      </c>
      <c r="K42" s="21"/>
      <c r="L42" s="21"/>
      <c r="M42" s="22"/>
      <c r="N42" s="21"/>
      <c r="O42" s="21" t="s">
        <v>51</v>
      </c>
      <c r="P42" s="21" t="s">
        <v>51</v>
      </c>
      <c r="Q42" s="21" t="s">
        <v>51</v>
      </c>
      <c r="R42" s="21" t="s">
        <v>51</v>
      </c>
      <c r="S42" s="21"/>
      <c r="T42" s="22"/>
      <c r="U42" s="22"/>
      <c r="V42" s="21"/>
      <c r="W42" s="21" t="s">
        <v>51</v>
      </c>
      <c r="X42" s="21" t="s">
        <v>51</v>
      </c>
      <c r="Y42" s="21" t="s">
        <v>51</v>
      </c>
      <c r="Z42" s="21"/>
      <c r="AA42" s="10" t="s">
        <v>52</v>
      </c>
      <c r="AC42" s="10" t="s">
        <v>52</v>
      </c>
      <c r="AG42" s="21"/>
      <c r="AH42" s="22"/>
      <c r="AI42" s="22"/>
      <c r="AJ42" s="22"/>
      <c r="AK42" s="22"/>
      <c r="AL42" s="22"/>
      <c r="AM42" s="29" t="s">
        <v>114</v>
      </c>
      <c r="AN42" s="24"/>
      <c r="AO42" s="22"/>
      <c r="AP42" s="24"/>
      <c r="AQ42" s="22"/>
      <c r="AR42" s="24"/>
      <c r="AS42" s="24"/>
      <c r="AT42" s="27"/>
      <c r="AV42" s="28"/>
      <c r="AW42" s="28"/>
    </row>
    <row r="43" spans="1:49">
      <c r="A43" s="17" t="s">
        <v>46</v>
      </c>
      <c r="B43" s="4" t="s">
        <v>115</v>
      </c>
      <c r="C43" s="4">
        <v>28</v>
      </c>
      <c r="D43" s="4" t="s">
        <v>54</v>
      </c>
      <c r="E43" s="18"/>
      <c r="F43" s="4" t="s">
        <v>56</v>
      </c>
      <c r="G43" s="19" t="s">
        <v>57</v>
      </c>
      <c r="H43" s="19">
        <v>44778</v>
      </c>
      <c r="I43" s="19">
        <v>44963</v>
      </c>
      <c r="J43" s="20">
        <f t="shared" si="0"/>
        <v>186</v>
      </c>
      <c r="K43" s="21"/>
      <c r="L43" s="21"/>
      <c r="M43" s="22"/>
      <c r="N43" s="21"/>
      <c r="O43" s="21" t="s">
        <v>50</v>
      </c>
      <c r="P43" s="23"/>
      <c r="Q43" s="24"/>
      <c r="R43" s="25" t="str">
        <f t="shared" ref="R43:R87" si="3">IF(AND(P43&lt;&gt;"",Q43&lt;&gt;""),P43/(Q43/100)^2,"")</f>
        <v/>
      </c>
      <c r="S43" s="21"/>
      <c r="T43" s="22"/>
      <c r="U43" s="22"/>
      <c r="V43" s="21"/>
      <c r="W43" s="21" t="s">
        <v>51</v>
      </c>
      <c r="X43" s="21" t="s">
        <v>51</v>
      </c>
      <c r="Y43" s="21" t="s">
        <v>51</v>
      </c>
      <c r="Z43" s="21" t="s">
        <v>51</v>
      </c>
      <c r="AA43" s="10" t="s">
        <v>52</v>
      </c>
      <c r="AC43" s="10" t="s">
        <v>52</v>
      </c>
      <c r="AE43" s="10" t="s">
        <v>52</v>
      </c>
      <c r="AG43" s="21"/>
      <c r="AH43" s="22"/>
      <c r="AI43" s="22"/>
      <c r="AJ43" s="22"/>
      <c r="AK43" s="22"/>
      <c r="AL43" s="22"/>
      <c r="AM43" s="22"/>
      <c r="AN43" s="24"/>
      <c r="AO43" s="22"/>
      <c r="AP43" s="24"/>
      <c r="AQ43" s="22"/>
      <c r="AR43" s="24"/>
      <c r="AS43" s="24"/>
      <c r="AT43" s="27"/>
      <c r="AV43" s="28"/>
      <c r="AW43" s="28"/>
    </row>
    <row r="44" ht="18" customHeight="1" spans="1:49">
      <c r="A44" s="17" t="s">
        <v>46</v>
      </c>
      <c r="B44" s="4" t="s">
        <v>116</v>
      </c>
      <c r="C44" s="4">
        <v>35</v>
      </c>
      <c r="D44" s="4" t="s">
        <v>54</v>
      </c>
      <c r="E44" s="18"/>
      <c r="F44" s="4" t="s">
        <v>49</v>
      </c>
      <c r="G44" s="19">
        <v>44937.454537037</v>
      </c>
      <c r="H44" s="19">
        <v>44781</v>
      </c>
      <c r="I44" s="19">
        <v>44965</v>
      </c>
      <c r="J44" s="20">
        <f t="shared" si="0"/>
        <v>185</v>
      </c>
      <c r="K44" s="21"/>
      <c r="L44" s="21"/>
      <c r="M44" s="22"/>
      <c r="N44" s="21"/>
      <c r="O44" s="21" t="s">
        <v>50</v>
      </c>
      <c r="P44" s="23"/>
      <c r="Q44" s="24"/>
      <c r="R44" s="25" t="str">
        <f t="shared" si="3"/>
        <v/>
      </c>
      <c r="S44" s="21"/>
      <c r="T44" s="22"/>
      <c r="U44" s="22"/>
      <c r="V44" s="21"/>
      <c r="W44" s="21" t="s">
        <v>51</v>
      </c>
      <c r="X44" s="21" t="s">
        <v>51</v>
      </c>
      <c r="Y44" s="21" t="s">
        <v>51</v>
      </c>
      <c r="Z44" s="21" t="s">
        <v>51</v>
      </c>
      <c r="AA44" s="10" t="s">
        <v>108</v>
      </c>
      <c r="AB44" s="10" t="s">
        <v>117</v>
      </c>
      <c r="AC44" s="10" t="s">
        <v>52</v>
      </c>
      <c r="AE44" s="10" t="s">
        <v>52</v>
      </c>
      <c r="AG44" s="21"/>
      <c r="AH44" s="22"/>
      <c r="AI44" s="22"/>
      <c r="AJ44" s="22"/>
      <c r="AK44" s="22"/>
      <c r="AL44" s="22"/>
      <c r="AM44" s="22"/>
      <c r="AN44" s="24"/>
      <c r="AO44" s="22"/>
      <c r="AP44" s="24"/>
      <c r="AQ44" s="22"/>
      <c r="AR44" s="24"/>
      <c r="AS44" s="24"/>
      <c r="AT44" s="27"/>
      <c r="AV44" s="28"/>
      <c r="AW44" s="28"/>
    </row>
    <row r="45" spans="1:49">
      <c r="A45" s="17" t="s">
        <v>46</v>
      </c>
      <c r="B45" s="4" t="s">
        <v>118</v>
      </c>
      <c r="C45" s="4">
        <v>33</v>
      </c>
      <c r="D45" s="4" t="s">
        <v>54</v>
      </c>
      <c r="E45" s="18"/>
      <c r="F45" s="4" t="s">
        <v>49</v>
      </c>
      <c r="G45" s="19">
        <v>44937.4557060185</v>
      </c>
      <c r="H45" s="19">
        <v>44782</v>
      </c>
      <c r="I45" s="19">
        <v>45029</v>
      </c>
      <c r="J45" s="20">
        <f t="shared" si="0"/>
        <v>248</v>
      </c>
      <c r="K45" s="21"/>
      <c r="L45" s="21"/>
      <c r="M45" s="22"/>
      <c r="N45" s="21"/>
      <c r="O45" s="21" t="s">
        <v>50</v>
      </c>
      <c r="P45" s="23"/>
      <c r="Q45" s="24"/>
      <c r="R45" s="25" t="str">
        <f t="shared" si="3"/>
        <v/>
      </c>
      <c r="S45" s="21"/>
      <c r="T45" s="22"/>
      <c r="U45" s="22"/>
      <c r="V45" s="21"/>
      <c r="W45" s="21" t="s">
        <v>51</v>
      </c>
      <c r="X45" s="21" t="s">
        <v>51</v>
      </c>
      <c r="Y45" s="21" t="s">
        <v>51</v>
      </c>
      <c r="Z45" s="21" t="s">
        <v>51</v>
      </c>
      <c r="AA45" s="10" t="s">
        <v>52</v>
      </c>
      <c r="AC45" s="10" t="s">
        <v>52</v>
      </c>
      <c r="AE45" s="10" t="s">
        <v>52</v>
      </c>
      <c r="AG45" s="21"/>
      <c r="AH45" s="22"/>
      <c r="AI45" s="22"/>
      <c r="AJ45" s="22"/>
      <c r="AK45" s="22"/>
      <c r="AL45" s="22"/>
      <c r="AM45" s="22"/>
      <c r="AN45" s="24"/>
      <c r="AO45" s="22"/>
      <c r="AP45" s="24"/>
      <c r="AQ45" s="22"/>
      <c r="AR45" s="24"/>
      <c r="AS45" s="24"/>
      <c r="AT45" s="27"/>
      <c r="AV45" s="28"/>
      <c r="AW45" s="28"/>
    </row>
    <row r="46" spans="1:49">
      <c r="A46" s="17" t="s">
        <v>46</v>
      </c>
      <c r="B46" s="4" t="s">
        <v>119</v>
      </c>
      <c r="C46" s="4">
        <v>27</v>
      </c>
      <c r="D46" s="4" t="s">
        <v>48</v>
      </c>
      <c r="E46" s="30"/>
      <c r="F46" s="4" t="s">
        <v>49</v>
      </c>
      <c r="G46" s="19">
        <v>44937.4566203704</v>
      </c>
      <c r="H46" s="19">
        <v>44788</v>
      </c>
      <c r="I46" s="19">
        <v>44972</v>
      </c>
      <c r="J46" s="31">
        <f t="shared" si="0"/>
        <v>185</v>
      </c>
      <c r="K46" s="21"/>
      <c r="L46" s="21"/>
      <c r="M46" s="22"/>
      <c r="N46" s="21"/>
      <c r="O46" s="21" t="s">
        <v>50</v>
      </c>
      <c r="P46" s="23"/>
      <c r="Q46" s="24"/>
      <c r="R46" s="25" t="str">
        <f t="shared" si="3"/>
        <v/>
      </c>
      <c r="S46" s="21"/>
      <c r="T46" s="22"/>
      <c r="U46" s="22"/>
      <c r="V46" s="21"/>
      <c r="W46" s="21" t="s">
        <v>51</v>
      </c>
      <c r="X46" s="21" t="s">
        <v>51</v>
      </c>
      <c r="Y46" s="21" t="s">
        <v>51</v>
      </c>
      <c r="Z46" s="21" t="s">
        <v>51</v>
      </c>
      <c r="AA46" s="10" t="s">
        <v>52</v>
      </c>
      <c r="AC46" s="10" t="s">
        <v>52</v>
      </c>
      <c r="AE46" s="10" t="s">
        <v>52</v>
      </c>
      <c r="AG46" s="21"/>
      <c r="AH46" s="22"/>
      <c r="AI46" s="22"/>
      <c r="AJ46" s="22"/>
      <c r="AK46" s="22"/>
      <c r="AL46" s="22"/>
      <c r="AM46" s="22"/>
      <c r="AN46" s="24"/>
      <c r="AO46" s="22"/>
      <c r="AP46" s="24"/>
      <c r="AQ46" s="22"/>
      <c r="AR46" s="24"/>
      <c r="AS46" s="24"/>
      <c r="AT46" s="27"/>
      <c r="AV46" s="28"/>
      <c r="AW46" s="28"/>
    </row>
    <row r="47" spans="1:49">
      <c r="A47" s="17" t="s">
        <v>46</v>
      </c>
      <c r="B47" s="4" t="s">
        <v>120</v>
      </c>
      <c r="C47" s="4">
        <v>21</v>
      </c>
      <c r="D47" s="4" t="s">
        <v>54</v>
      </c>
      <c r="E47" s="30"/>
      <c r="F47" s="4" t="s">
        <v>64</v>
      </c>
      <c r="G47" s="19" t="s">
        <v>57</v>
      </c>
      <c r="H47" s="19">
        <v>44794</v>
      </c>
      <c r="I47" s="19">
        <v>44989</v>
      </c>
      <c r="J47" s="31">
        <f t="shared" si="0"/>
        <v>196</v>
      </c>
      <c r="K47" s="21"/>
      <c r="L47" s="21"/>
      <c r="M47" s="22"/>
      <c r="N47" s="21"/>
      <c r="O47" s="21" t="s">
        <v>50</v>
      </c>
      <c r="P47" s="23"/>
      <c r="Q47" s="24"/>
      <c r="R47" s="25" t="str">
        <f t="shared" si="3"/>
        <v/>
      </c>
      <c r="S47" s="21"/>
      <c r="T47" s="22"/>
      <c r="U47" s="22"/>
      <c r="V47" s="21"/>
      <c r="W47" s="21" t="s">
        <v>51</v>
      </c>
      <c r="X47" s="21" t="s">
        <v>51</v>
      </c>
      <c r="Y47" s="21" t="s">
        <v>51</v>
      </c>
      <c r="Z47" s="21"/>
      <c r="AA47" s="10" t="s">
        <v>52</v>
      </c>
      <c r="AC47" s="10" t="s">
        <v>52</v>
      </c>
      <c r="AE47" s="10" t="s">
        <v>52</v>
      </c>
      <c r="AG47" s="21"/>
      <c r="AH47" s="22"/>
      <c r="AI47" s="22"/>
      <c r="AJ47" s="22"/>
      <c r="AK47" s="22"/>
      <c r="AL47" s="22"/>
      <c r="AM47" s="22"/>
      <c r="AN47" s="24"/>
      <c r="AO47" s="22"/>
      <c r="AP47" s="24"/>
      <c r="AQ47" s="22"/>
      <c r="AR47" s="24"/>
      <c r="AS47" s="24"/>
      <c r="AT47" s="27"/>
      <c r="AV47" s="28"/>
      <c r="AW47" s="28"/>
    </row>
    <row r="48" spans="1:49">
      <c r="A48" s="17" t="s">
        <v>46</v>
      </c>
      <c r="B48" s="4" t="s">
        <v>121</v>
      </c>
      <c r="C48" s="4">
        <v>34</v>
      </c>
      <c r="D48" s="4" t="s">
        <v>54</v>
      </c>
      <c r="E48" s="30"/>
      <c r="F48" s="4" t="s">
        <v>49</v>
      </c>
      <c r="G48" s="19">
        <v>44937.4577662037</v>
      </c>
      <c r="H48" s="19">
        <v>44795</v>
      </c>
      <c r="I48" s="19">
        <v>45073</v>
      </c>
      <c r="J48" s="31">
        <f t="shared" si="0"/>
        <v>279</v>
      </c>
      <c r="K48" s="21"/>
      <c r="L48" s="21"/>
      <c r="M48" s="22"/>
      <c r="N48" s="21"/>
      <c r="O48" s="21" t="s">
        <v>50</v>
      </c>
      <c r="P48" s="23"/>
      <c r="Q48" s="24"/>
      <c r="R48" s="25" t="str">
        <f t="shared" si="3"/>
        <v/>
      </c>
      <c r="S48" s="21"/>
      <c r="T48" s="22"/>
      <c r="U48" s="22"/>
      <c r="V48" s="21"/>
      <c r="W48" s="21" t="s">
        <v>51</v>
      </c>
      <c r="X48" s="21" t="s">
        <v>51</v>
      </c>
      <c r="Y48" s="21" t="s">
        <v>51</v>
      </c>
      <c r="Z48" s="21" t="s">
        <v>51</v>
      </c>
      <c r="AA48" s="10" t="s">
        <v>52</v>
      </c>
      <c r="AC48" s="10" t="s">
        <v>52</v>
      </c>
      <c r="AE48" s="10" t="s">
        <v>52</v>
      </c>
      <c r="AG48" s="21"/>
      <c r="AH48" s="22"/>
      <c r="AI48" s="22"/>
      <c r="AJ48" s="22"/>
      <c r="AK48" s="22"/>
      <c r="AL48" s="22"/>
      <c r="AM48" s="22"/>
      <c r="AN48" s="24"/>
      <c r="AO48" s="22"/>
      <c r="AP48" s="24"/>
      <c r="AQ48" s="22"/>
      <c r="AR48" s="24"/>
      <c r="AS48" s="24"/>
      <c r="AT48" s="27"/>
      <c r="AV48" s="28"/>
      <c r="AW48" s="28"/>
    </row>
    <row r="49" spans="1:49">
      <c r="A49" s="17" t="s">
        <v>46</v>
      </c>
      <c r="B49" s="4" t="s">
        <v>122</v>
      </c>
      <c r="C49" s="4">
        <v>31</v>
      </c>
      <c r="D49" s="4" t="s">
        <v>48</v>
      </c>
      <c r="E49" s="30"/>
      <c r="F49" s="4" t="s">
        <v>56</v>
      </c>
      <c r="G49" s="19" t="s">
        <v>57</v>
      </c>
      <c r="H49" s="19">
        <v>44796</v>
      </c>
      <c r="I49" s="19">
        <v>45028</v>
      </c>
      <c r="J49" s="31">
        <f t="shared" si="0"/>
        <v>233</v>
      </c>
      <c r="K49" s="21"/>
      <c r="L49" s="21"/>
      <c r="M49" s="22"/>
      <c r="N49" s="21"/>
      <c r="O49" s="21" t="s">
        <v>51</v>
      </c>
      <c r="P49" s="23"/>
      <c r="Q49" s="24"/>
      <c r="R49" s="25" t="str">
        <f t="shared" si="3"/>
        <v/>
      </c>
      <c r="S49" s="21"/>
      <c r="T49" s="22"/>
      <c r="U49" s="22"/>
      <c r="V49" s="21"/>
      <c r="W49" s="21" t="s">
        <v>51</v>
      </c>
      <c r="X49" s="21" t="s">
        <v>51</v>
      </c>
      <c r="Y49" s="21" t="s">
        <v>51</v>
      </c>
      <c r="Z49" s="21"/>
      <c r="AA49" s="10" t="s">
        <v>52</v>
      </c>
      <c r="AC49" s="10" t="s">
        <v>52</v>
      </c>
      <c r="AE49" s="10" t="s">
        <v>108</v>
      </c>
      <c r="AF49" s="10" t="s">
        <v>123</v>
      </c>
      <c r="AG49" s="21"/>
      <c r="AH49" s="22"/>
      <c r="AI49" s="22"/>
      <c r="AJ49" s="22"/>
      <c r="AK49" s="22"/>
      <c r="AL49" s="22"/>
      <c r="AM49" s="22"/>
      <c r="AN49" s="24"/>
      <c r="AO49" s="22"/>
      <c r="AP49" s="24"/>
      <c r="AQ49" s="22"/>
      <c r="AR49" s="24"/>
      <c r="AS49" s="24"/>
      <c r="AT49" s="27"/>
      <c r="AV49" s="28"/>
      <c r="AW49" s="28"/>
    </row>
    <row r="50" spans="1:49">
      <c r="A50" s="17" t="s">
        <v>46</v>
      </c>
      <c r="B50" s="4" t="s">
        <v>124</v>
      </c>
      <c r="C50" s="4">
        <v>36</v>
      </c>
      <c r="D50" s="4" t="s">
        <v>54</v>
      </c>
      <c r="E50" s="30"/>
      <c r="F50" s="4" t="s">
        <v>64</v>
      </c>
      <c r="G50" s="19" t="s">
        <v>57</v>
      </c>
      <c r="H50" s="19">
        <v>44797</v>
      </c>
      <c r="I50" s="19">
        <v>44980</v>
      </c>
      <c r="J50" s="31">
        <f t="shared" si="0"/>
        <v>184</v>
      </c>
      <c r="K50" s="21"/>
      <c r="L50" s="21"/>
      <c r="M50" s="22"/>
      <c r="N50" s="21"/>
      <c r="O50" s="21" t="s">
        <v>50</v>
      </c>
      <c r="P50" s="23"/>
      <c r="Q50" s="24"/>
      <c r="R50" s="25" t="str">
        <f t="shared" si="3"/>
        <v/>
      </c>
      <c r="S50" s="21"/>
      <c r="T50" s="22"/>
      <c r="U50" s="22"/>
      <c r="V50" s="21"/>
      <c r="W50" s="21" t="s">
        <v>51</v>
      </c>
      <c r="X50" s="21" t="s">
        <v>51</v>
      </c>
      <c r="Y50" s="21" t="s">
        <v>51</v>
      </c>
      <c r="Z50" s="21"/>
      <c r="AA50" s="10" t="s">
        <v>52</v>
      </c>
      <c r="AC50" s="10" t="s">
        <v>52</v>
      </c>
      <c r="AE50" s="10" t="s">
        <v>108</v>
      </c>
      <c r="AF50" s="10" t="s">
        <v>123</v>
      </c>
      <c r="AG50" s="21"/>
      <c r="AH50" s="22"/>
      <c r="AI50" s="22"/>
      <c r="AJ50" s="22"/>
      <c r="AK50" s="22"/>
      <c r="AL50" s="22"/>
      <c r="AM50" s="22"/>
      <c r="AN50" s="24"/>
      <c r="AO50" s="22"/>
      <c r="AP50" s="24"/>
      <c r="AQ50" s="22"/>
      <c r="AR50" s="24"/>
      <c r="AS50" s="24"/>
      <c r="AT50" s="27"/>
      <c r="AV50" s="28"/>
      <c r="AW50" s="28"/>
    </row>
    <row r="51" spans="1:49">
      <c r="A51" s="17" t="s">
        <v>46</v>
      </c>
      <c r="B51" s="4" t="s">
        <v>125</v>
      </c>
      <c r="C51" s="4">
        <v>23</v>
      </c>
      <c r="D51" s="4" t="s">
        <v>48</v>
      </c>
      <c r="E51" s="30"/>
      <c r="F51" s="4" t="s">
        <v>68</v>
      </c>
      <c r="G51" s="19" t="s">
        <v>57</v>
      </c>
      <c r="H51" s="19">
        <v>44800</v>
      </c>
      <c r="I51" s="19">
        <v>45317</v>
      </c>
      <c r="J51" s="31">
        <f t="shared" si="0"/>
        <v>518</v>
      </c>
      <c r="K51" s="21"/>
      <c r="L51" s="21"/>
      <c r="M51" s="22"/>
      <c r="N51" s="21"/>
      <c r="O51" s="21" t="s">
        <v>50</v>
      </c>
      <c r="P51" s="23"/>
      <c r="Q51" s="24"/>
      <c r="R51" s="25" t="str">
        <f t="shared" si="3"/>
        <v/>
      </c>
      <c r="S51" s="21"/>
      <c r="T51" s="22"/>
      <c r="U51" s="22"/>
      <c r="V51" s="21"/>
      <c r="W51" s="21" t="s">
        <v>51</v>
      </c>
      <c r="X51" s="21" t="s">
        <v>51</v>
      </c>
      <c r="Y51" s="21" t="s">
        <v>51</v>
      </c>
      <c r="Z51" s="21" t="s">
        <v>51</v>
      </c>
      <c r="AA51" s="10" t="s">
        <v>52</v>
      </c>
      <c r="AC51" s="10" t="s">
        <v>52</v>
      </c>
      <c r="AE51" s="10" t="s">
        <v>52</v>
      </c>
      <c r="AG51" s="21"/>
      <c r="AH51" s="22"/>
      <c r="AI51" s="22"/>
      <c r="AJ51" s="22"/>
      <c r="AK51" s="22"/>
      <c r="AL51" s="22"/>
      <c r="AM51" s="22" t="s">
        <v>126</v>
      </c>
      <c r="AN51" s="24"/>
      <c r="AO51" s="22"/>
      <c r="AP51" s="24"/>
      <c r="AQ51" s="22"/>
      <c r="AR51" s="24"/>
      <c r="AS51" s="24"/>
      <c r="AT51" s="27"/>
      <c r="AV51" s="28"/>
      <c r="AW51" s="28"/>
    </row>
    <row r="52" spans="1:49">
      <c r="A52" s="17" t="s">
        <v>46</v>
      </c>
      <c r="B52" s="4" t="s">
        <v>127</v>
      </c>
      <c r="C52" s="21">
        <v>78</v>
      </c>
      <c r="D52" s="21" t="s">
        <v>48</v>
      </c>
      <c r="E52" s="30"/>
      <c r="F52" s="4" t="s">
        <v>56</v>
      </c>
      <c r="G52" s="19" t="s">
        <v>57</v>
      </c>
      <c r="H52" s="19">
        <v>44804</v>
      </c>
      <c r="I52" s="19">
        <v>44979</v>
      </c>
      <c r="J52" s="31">
        <f t="shared" si="0"/>
        <v>176</v>
      </c>
      <c r="K52" s="21"/>
      <c r="L52" s="21"/>
      <c r="M52" s="22"/>
      <c r="N52" s="21"/>
      <c r="O52" s="21" t="s">
        <v>50</v>
      </c>
      <c r="P52" s="23"/>
      <c r="Q52" s="24"/>
      <c r="R52" s="25" t="str">
        <f t="shared" si="3"/>
        <v/>
      </c>
      <c r="S52" s="21"/>
      <c r="T52" s="22"/>
      <c r="U52" s="22"/>
      <c r="V52" s="21"/>
      <c r="W52" s="21" t="s">
        <v>51</v>
      </c>
      <c r="X52" s="21" t="s">
        <v>51</v>
      </c>
      <c r="Y52" s="21" t="s">
        <v>51</v>
      </c>
      <c r="Z52" s="21"/>
      <c r="AA52" s="10" t="s">
        <v>52</v>
      </c>
      <c r="AC52" s="10" t="s">
        <v>52</v>
      </c>
      <c r="AE52" s="10" t="s">
        <v>108</v>
      </c>
      <c r="AF52" s="10" t="s">
        <v>123</v>
      </c>
      <c r="AG52" s="21"/>
      <c r="AH52" s="22"/>
      <c r="AI52" s="22"/>
      <c r="AJ52" s="22"/>
      <c r="AK52" s="22"/>
      <c r="AL52" s="22"/>
      <c r="AM52" s="22"/>
      <c r="AN52" s="24"/>
      <c r="AO52" s="22"/>
      <c r="AP52" s="24"/>
      <c r="AQ52" s="22"/>
      <c r="AR52" s="24"/>
      <c r="AS52" s="24"/>
      <c r="AT52" s="27"/>
      <c r="AV52" s="28"/>
      <c r="AW52" s="28"/>
    </row>
    <row r="53" spans="1:49">
      <c r="A53" s="17" t="s">
        <v>46</v>
      </c>
      <c r="B53" s="4" t="s">
        <v>128</v>
      </c>
      <c r="C53" s="4">
        <v>58</v>
      </c>
      <c r="D53" s="4" t="s">
        <v>48</v>
      </c>
      <c r="E53" s="30"/>
      <c r="F53" s="4" t="s">
        <v>82</v>
      </c>
      <c r="G53" s="19" t="s">
        <v>57</v>
      </c>
      <c r="H53" s="19">
        <v>44804</v>
      </c>
      <c r="I53" s="19">
        <v>45056</v>
      </c>
      <c r="J53" s="31">
        <f t="shared" si="0"/>
        <v>253</v>
      </c>
      <c r="K53" s="21"/>
      <c r="L53" s="21"/>
      <c r="M53" s="22"/>
      <c r="N53" s="21"/>
      <c r="O53" s="21" t="s">
        <v>50</v>
      </c>
      <c r="P53" s="23"/>
      <c r="Q53" s="24"/>
      <c r="R53" s="25" t="str">
        <f t="shared" si="3"/>
        <v/>
      </c>
      <c r="S53" s="21"/>
      <c r="T53" s="22"/>
      <c r="U53" s="22"/>
      <c r="V53" s="21"/>
      <c r="W53" s="21" t="s">
        <v>51</v>
      </c>
      <c r="X53" s="21" t="s">
        <v>51</v>
      </c>
      <c r="Y53" s="21" t="s">
        <v>51</v>
      </c>
      <c r="Z53" s="21"/>
      <c r="AA53" s="10" t="s">
        <v>52</v>
      </c>
      <c r="AC53" s="10" t="s">
        <v>52</v>
      </c>
      <c r="AE53" s="10" t="s">
        <v>108</v>
      </c>
      <c r="AF53" s="10" t="s">
        <v>123</v>
      </c>
      <c r="AG53" s="21"/>
      <c r="AH53" s="22"/>
      <c r="AI53" s="22"/>
      <c r="AJ53" s="22"/>
      <c r="AK53" s="22"/>
      <c r="AL53" s="22"/>
      <c r="AM53" s="22"/>
      <c r="AN53" s="24"/>
      <c r="AO53" s="22"/>
      <c r="AP53" s="24"/>
      <c r="AQ53" s="22"/>
      <c r="AR53" s="24"/>
      <c r="AS53" s="24"/>
      <c r="AT53" s="27"/>
      <c r="AV53" s="28"/>
      <c r="AW53" s="28"/>
    </row>
    <row r="54" spans="1:49">
      <c r="A54" s="17" t="s">
        <v>46</v>
      </c>
      <c r="B54" s="4" t="s">
        <v>129</v>
      </c>
      <c r="C54" s="4">
        <v>58</v>
      </c>
      <c r="D54" s="4" t="s">
        <v>48</v>
      </c>
      <c r="E54" s="30"/>
      <c r="F54" s="4" t="s">
        <v>78</v>
      </c>
      <c r="G54" s="19" t="s">
        <v>57</v>
      </c>
      <c r="H54" s="19">
        <v>44805</v>
      </c>
      <c r="I54" s="19">
        <v>44866</v>
      </c>
      <c r="J54" s="31">
        <f t="shared" si="0"/>
        <v>62</v>
      </c>
      <c r="K54" s="21"/>
      <c r="L54" s="21"/>
      <c r="M54" s="22"/>
      <c r="N54" s="21"/>
      <c r="O54" s="21" t="s">
        <v>50</v>
      </c>
      <c r="P54" s="23"/>
      <c r="Q54" s="24"/>
      <c r="R54" s="25" t="str">
        <f t="shared" si="3"/>
        <v/>
      </c>
      <c r="S54" s="21"/>
      <c r="T54" s="22"/>
      <c r="U54" s="22"/>
      <c r="V54" s="21"/>
      <c r="W54" s="21"/>
      <c r="X54" s="21"/>
      <c r="Y54" s="21"/>
      <c r="Z54" s="21"/>
      <c r="AA54" s="10" t="s">
        <v>108</v>
      </c>
      <c r="AB54" s="10" t="s">
        <v>123</v>
      </c>
      <c r="AG54" s="21"/>
      <c r="AH54" s="22"/>
      <c r="AI54" s="22"/>
      <c r="AJ54" s="22"/>
      <c r="AK54" s="22"/>
      <c r="AL54" s="22"/>
      <c r="AM54" s="22"/>
      <c r="AN54" s="24"/>
      <c r="AO54" s="22"/>
      <c r="AP54" s="24"/>
      <c r="AQ54" s="22"/>
      <c r="AR54" s="24"/>
      <c r="AS54" s="24"/>
      <c r="AT54" s="27"/>
      <c r="AV54" s="28"/>
      <c r="AW54" s="28"/>
    </row>
    <row r="55" spans="1:49">
      <c r="A55" s="17" t="s">
        <v>46</v>
      </c>
      <c r="B55" s="4" t="s">
        <v>130</v>
      </c>
      <c r="C55" s="4">
        <v>37</v>
      </c>
      <c r="D55" s="4" t="s">
        <v>54</v>
      </c>
      <c r="E55" s="30"/>
      <c r="F55" s="4" t="s">
        <v>49</v>
      </c>
      <c r="G55" s="19">
        <v>44971.3984143519</v>
      </c>
      <c r="H55" s="19">
        <v>44805</v>
      </c>
      <c r="I55" s="19">
        <v>44993</v>
      </c>
      <c r="J55" s="31">
        <f t="shared" si="0"/>
        <v>189</v>
      </c>
      <c r="K55" s="21"/>
      <c r="L55" s="21"/>
      <c r="M55" s="22"/>
      <c r="N55" s="21"/>
      <c r="O55" s="21" t="s">
        <v>50</v>
      </c>
      <c r="P55" s="23"/>
      <c r="Q55" s="24"/>
      <c r="R55" s="25" t="str">
        <f t="shared" si="3"/>
        <v/>
      </c>
      <c r="S55" s="21"/>
      <c r="T55" s="22"/>
      <c r="U55" s="22"/>
      <c r="V55" s="21"/>
      <c r="W55" s="21" t="s">
        <v>51</v>
      </c>
      <c r="X55" s="21" t="s">
        <v>51</v>
      </c>
      <c r="Y55" s="21"/>
      <c r="Z55" s="21"/>
      <c r="AA55" s="10" t="s">
        <v>52</v>
      </c>
      <c r="AC55" s="10" t="s">
        <v>52</v>
      </c>
      <c r="AE55" s="10" t="s">
        <v>108</v>
      </c>
      <c r="AF55" s="10" t="s">
        <v>123</v>
      </c>
      <c r="AG55" s="21"/>
      <c r="AH55" s="22"/>
      <c r="AI55" s="22"/>
      <c r="AJ55" s="22"/>
      <c r="AK55" s="22"/>
      <c r="AL55" s="22"/>
      <c r="AM55" s="22"/>
      <c r="AN55" s="24"/>
      <c r="AO55" s="22"/>
      <c r="AP55" s="24"/>
      <c r="AQ55" s="22"/>
      <c r="AR55" s="24"/>
      <c r="AS55" s="24"/>
      <c r="AT55" s="27"/>
      <c r="AV55" s="28"/>
      <c r="AW55" s="28"/>
    </row>
    <row r="56" spans="1:49">
      <c r="A56" s="17" t="s">
        <v>46</v>
      </c>
      <c r="B56" s="4" t="s">
        <v>131</v>
      </c>
      <c r="C56" s="4">
        <v>84</v>
      </c>
      <c r="D56" s="4" t="s">
        <v>48</v>
      </c>
      <c r="E56" s="30"/>
      <c r="F56" s="4" t="s">
        <v>56</v>
      </c>
      <c r="G56" s="19" t="s">
        <v>57</v>
      </c>
      <c r="H56" s="19">
        <v>44806</v>
      </c>
      <c r="I56" s="19"/>
      <c r="J56" s="31" t="str">
        <f t="shared" si="0"/>
        <v/>
      </c>
      <c r="K56" s="21"/>
      <c r="L56" s="21"/>
      <c r="M56" s="22"/>
      <c r="N56" s="21"/>
      <c r="O56" s="21" t="s">
        <v>51</v>
      </c>
      <c r="P56" s="23"/>
      <c r="Q56" s="24"/>
      <c r="R56" s="25" t="str">
        <f t="shared" si="3"/>
        <v/>
      </c>
      <c r="S56" s="21"/>
      <c r="T56" s="22"/>
      <c r="U56" s="22"/>
      <c r="V56" s="21"/>
      <c r="W56" s="21"/>
      <c r="X56" s="21"/>
      <c r="Y56" s="21"/>
      <c r="Z56" s="21"/>
      <c r="AA56" s="10" t="s">
        <v>108</v>
      </c>
      <c r="AB56" s="10" t="s">
        <v>123</v>
      </c>
      <c r="AG56" s="21"/>
      <c r="AH56" s="22"/>
      <c r="AI56" s="22"/>
      <c r="AJ56" s="22"/>
      <c r="AK56" s="22"/>
      <c r="AL56" s="22"/>
      <c r="AM56" s="22"/>
      <c r="AN56" s="24"/>
      <c r="AO56" s="22"/>
      <c r="AP56" s="24"/>
      <c r="AQ56" s="22"/>
      <c r="AR56" s="24"/>
      <c r="AS56" s="24"/>
      <c r="AT56" s="27"/>
      <c r="AV56" s="28"/>
      <c r="AW56" s="28"/>
    </row>
    <row r="57" spans="1:49">
      <c r="A57" s="17" t="s">
        <v>46</v>
      </c>
      <c r="B57" s="4" t="s">
        <v>132</v>
      </c>
      <c r="C57" s="4">
        <v>32</v>
      </c>
      <c r="D57" s="4" t="s">
        <v>54</v>
      </c>
      <c r="E57" s="30"/>
      <c r="F57" s="4" t="s">
        <v>49</v>
      </c>
      <c r="G57" s="19">
        <v>44971.3984143519</v>
      </c>
      <c r="H57" s="19">
        <v>44817</v>
      </c>
      <c r="I57" s="19">
        <v>45098</v>
      </c>
      <c r="J57" s="31">
        <f t="shared" si="0"/>
        <v>282</v>
      </c>
      <c r="K57" s="21"/>
      <c r="L57" s="21"/>
      <c r="M57" s="22"/>
      <c r="N57" s="21"/>
      <c r="O57" s="21" t="s">
        <v>50</v>
      </c>
      <c r="P57" s="23"/>
      <c r="Q57" s="24"/>
      <c r="R57" s="25" t="str">
        <f t="shared" si="3"/>
        <v/>
      </c>
      <c r="S57" s="21"/>
      <c r="T57" s="22"/>
      <c r="U57" s="22"/>
      <c r="V57" s="21"/>
      <c r="W57" s="21" t="s">
        <v>51</v>
      </c>
      <c r="X57" s="21" t="s">
        <v>51</v>
      </c>
      <c r="Y57" s="21" t="s">
        <v>51</v>
      </c>
      <c r="Z57" s="21" t="s">
        <v>51</v>
      </c>
      <c r="AA57" s="10" t="s">
        <v>52</v>
      </c>
      <c r="AC57" s="10" t="s">
        <v>52</v>
      </c>
      <c r="AE57" s="10" t="s">
        <v>52</v>
      </c>
      <c r="AG57" s="21"/>
      <c r="AH57" s="22"/>
      <c r="AI57" s="22"/>
      <c r="AJ57" s="22"/>
      <c r="AK57" s="22"/>
      <c r="AL57" s="22"/>
      <c r="AM57" s="22"/>
      <c r="AN57" s="24"/>
      <c r="AO57" s="22"/>
      <c r="AP57" s="24"/>
      <c r="AQ57" s="22"/>
      <c r="AR57" s="24"/>
      <c r="AS57" s="24"/>
      <c r="AT57" s="27"/>
      <c r="AV57" s="28"/>
      <c r="AW57" s="28"/>
    </row>
    <row r="58" spans="1:49">
      <c r="A58" s="17" t="s">
        <v>46</v>
      </c>
      <c r="B58" s="4" t="s">
        <v>133</v>
      </c>
      <c r="C58" s="4"/>
      <c r="D58" s="4" t="s">
        <v>48</v>
      </c>
      <c r="E58" s="30"/>
      <c r="F58" s="4" t="s">
        <v>56</v>
      </c>
      <c r="G58" s="19" t="s">
        <v>57</v>
      </c>
      <c r="H58" s="19">
        <v>44823</v>
      </c>
      <c r="I58" s="19"/>
      <c r="J58" s="31" t="str">
        <f t="shared" si="0"/>
        <v/>
      </c>
      <c r="K58" s="21"/>
      <c r="L58" s="21"/>
      <c r="M58" s="22"/>
      <c r="N58" s="21"/>
      <c r="O58" s="21" t="s">
        <v>50</v>
      </c>
      <c r="P58" s="23"/>
      <c r="Q58" s="24"/>
      <c r="R58" s="25" t="str">
        <f t="shared" si="3"/>
        <v/>
      </c>
      <c r="S58" s="21"/>
      <c r="T58" s="22"/>
      <c r="U58" s="22"/>
      <c r="V58" s="21"/>
      <c r="W58" s="21"/>
      <c r="X58" s="21"/>
      <c r="Y58" s="21"/>
      <c r="Z58" s="21"/>
      <c r="AG58" s="21"/>
      <c r="AH58" s="22"/>
      <c r="AI58" s="22"/>
      <c r="AJ58" s="22"/>
      <c r="AK58" s="22"/>
      <c r="AL58" s="22"/>
      <c r="AM58" s="22"/>
      <c r="AN58" s="24"/>
      <c r="AO58" s="22"/>
      <c r="AP58" s="24"/>
      <c r="AQ58" s="22"/>
      <c r="AR58" s="24"/>
      <c r="AS58" s="24"/>
      <c r="AT58" s="27"/>
      <c r="AV58" s="28"/>
      <c r="AW58" s="28"/>
    </row>
    <row r="59" spans="1:49">
      <c r="A59" s="17" t="s">
        <v>46</v>
      </c>
      <c r="B59" s="4" t="s">
        <v>134</v>
      </c>
      <c r="C59" s="4">
        <v>35</v>
      </c>
      <c r="D59" s="4" t="s">
        <v>48</v>
      </c>
      <c r="E59" s="30"/>
      <c r="F59" s="4" t="s">
        <v>49</v>
      </c>
      <c r="G59" s="19">
        <v>44971.4002893519</v>
      </c>
      <c r="H59" s="19">
        <v>44825</v>
      </c>
      <c r="I59" s="19">
        <v>45007</v>
      </c>
      <c r="J59" s="31">
        <f t="shared" si="0"/>
        <v>183</v>
      </c>
      <c r="K59" s="21"/>
      <c r="L59" s="21"/>
      <c r="M59" s="22"/>
      <c r="N59" s="21"/>
      <c r="O59" s="21" t="s">
        <v>51</v>
      </c>
      <c r="P59" s="23"/>
      <c r="Q59" s="24"/>
      <c r="R59" s="25" t="str">
        <f t="shared" si="3"/>
        <v/>
      </c>
      <c r="S59" s="21"/>
      <c r="T59" s="22"/>
      <c r="U59" s="22"/>
      <c r="V59" s="21"/>
      <c r="W59" s="21" t="s">
        <v>51</v>
      </c>
      <c r="X59" s="21" t="s">
        <v>51</v>
      </c>
      <c r="Y59" s="21" t="s">
        <v>51</v>
      </c>
      <c r="Z59" s="21" t="s">
        <v>51</v>
      </c>
      <c r="AA59" s="10" t="s">
        <v>52</v>
      </c>
      <c r="AC59" s="10" t="s">
        <v>52</v>
      </c>
      <c r="AE59" s="10" t="s">
        <v>52</v>
      </c>
      <c r="AG59" s="21"/>
      <c r="AH59" s="22"/>
      <c r="AI59" s="22"/>
      <c r="AJ59" s="22"/>
      <c r="AK59" s="22"/>
      <c r="AL59" s="22"/>
      <c r="AM59" s="22"/>
      <c r="AN59" s="24"/>
      <c r="AO59" s="22"/>
      <c r="AP59" s="24"/>
      <c r="AQ59" s="22"/>
      <c r="AR59" s="24"/>
      <c r="AS59" s="24"/>
      <c r="AT59" s="27"/>
      <c r="AV59" s="28"/>
      <c r="AW59" s="28"/>
    </row>
    <row r="60" spans="1:49">
      <c r="A60" s="17" t="s">
        <v>46</v>
      </c>
      <c r="B60" s="4" t="s">
        <v>135</v>
      </c>
      <c r="C60" s="4">
        <v>28</v>
      </c>
      <c r="D60" s="4" t="s">
        <v>54</v>
      </c>
      <c r="E60" s="30"/>
      <c r="F60" s="4" t="s">
        <v>56</v>
      </c>
      <c r="G60" s="19" t="s">
        <v>57</v>
      </c>
      <c r="H60" s="19">
        <v>44827</v>
      </c>
      <c r="I60" s="19">
        <v>45007</v>
      </c>
      <c r="J60" s="31">
        <f t="shared" si="0"/>
        <v>181</v>
      </c>
      <c r="K60" s="21"/>
      <c r="L60" s="21"/>
      <c r="M60" s="22"/>
      <c r="N60" s="21"/>
      <c r="O60" s="21" t="s">
        <v>51</v>
      </c>
      <c r="P60" s="23"/>
      <c r="Q60" s="24"/>
      <c r="R60" s="25" t="str">
        <f t="shared" si="3"/>
        <v/>
      </c>
      <c r="S60" s="21"/>
      <c r="T60" s="22"/>
      <c r="U60" s="22"/>
      <c r="V60" s="21"/>
      <c r="W60" s="21" t="s">
        <v>51</v>
      </c>
      <c r="X60" s="21" t="s">
        <v>51</v>
      </c>
      <c r="Y60" s="21" t="s">
        <v>51</v>
      </c>
      <c r="Z60" s="21"/>
      <c r="AA60" s="10" t="s">
        <v>52</v>
      </c>
      <c r="AC60" s="10" t="s">
        <v>52</v>
      </c>
      <c r="AE60" s="10" t="s">
        <v>108</v>
      </c>
      <c r="AF60" s="10" t="s">
        <v>123</v>
      </c>
      <c r="AG60" s="21"/>
      <c r="AH60" s="22"/>
      <c r="AI60" s="22"/>
      <c r="AJ60" s="22"/>
      <c r="AK60" s="22"/>
      <c r="AL60" s="22"/>
      <c r="AM60" s="22"/>
      <c r="AN60" s="24"/>
      <c r="AO60" s="22"/>
      <c r="AP60" s="24"/>
      <c r="AQ60" s="22"/>
      <c r="AR60" s="24"/>
      <c r="AS60" s="24"/>
      <c r="AT60" s="27"/>
      <c r="AV60" s="28"/>
      <c r="AW60" s="28"/>
    </row>
    <row r="61" spans="1:49">
      <c r="A61" s="17" t="s">
        <v>46</v>
      </c>
      <c r="B61" s="4" t="s">
        <v>136</v>
      </c>
      <c r="C61" s="4">
        <v>30</v>
      </c>
      <c r="D61" s="4" t="s">
        <v>54</v>
      </c>
      <c r="E61" s="30"/>
      <c r="F61" s="4" t="s">
        <v>64</v>
      </c>
      <c r="G61" s="19" t="s">
        <v>57</v>
      </c>
      <c r="H61" s="19">
        <v>44829</v>
      </c>
      <c r="I61" s="19">
        <v>45015</v>
      </c>
      <c r="J61" s="31">
        <f t="shared" si="0"/>
        <v>187</v>
      </c>
      <c r="K61" s="21"/>
      <c r="L61" s="21"/>
      <c r="M61" s="22"/>
      <c r="N61" s="21"/>
      <c r="O61" s="21" t="s">
        <v>50</v>
      </c>
      <c r="P61" s="23"/>
      <c r="Q61" s="24"/>
      <c r="R61" s="25" t="str">
        <f t="shared" si="3"/>
        <v/>
      </c>
      <c r="S61" s="21"/>
      <c r="T61" s="22"/>
      <c r="U61" s="22"/>
      <c r="V61" s="21"/>
      <c r="W61" s="21" t="s">
        <v>51</v>
      </c>
      <c r="X61" s="21" t="s">
        <v>51</v>
      </c>
      <c r="Y61" s="21" t="s">
        <v>51</v>
      </c>
      <c r="Z61" s="21" t="s">
        <v>51</v>
      </c>
      <c r="AA61" s="10" t="s">
        <v>52</v>
      </c>
      <c r="AC61" s="10" t="s">
        <v>52</v>
      </c>
      <c r="AE61" s="10" t="s">
        <v>52</v>
      </c>
      <c r="AG61" s="21"/>
      <c r="AH61" s="22"/>
      <c r="AI61" s="22"/>
      <c r="AJ61" s="22"/>
      <c r="AK61" s="22"/>
      <c r="AL61" s="22"/>
      <c r="AM61" s="22"/>
      <c r="AN61" s="24"/>
      <c r="AO61" s="22"/>
      <c r="AP61" s="24"/>
      <c r="AQ61" s="22"/>
      <c r="AR61" s="24"/>
      <c r="AS61" s="24"/>
      <c r="AT61" s="27"/>
      <c r="AV61" s="28"/>
      <c r="AW61" s="28"/>
    </row>
    <row r="62" spans="1:49">
      <c r="A62" s="17" t="s">
        <v>46</v>
      </c>
      <c r="B62" s="4" t="s">
        <v>137</v>
      </c>
      <c r="C62" s="4">
        <v>36</v>
      </c>
      <c r="D62" s="4" t="s">
        <v>48</v>
      </c>
      <c r="E62" s="30"/>
      <c r="F62" s="4" t="s">
        <v>49</v>
      </c>
      <c r="G62" s="19">
        <v>44971.401712963</v>
      </c>
      <c r="H62" s="19">
        <v>44832</v>
      </c>
      <c r="I62" s="19"/>
      <c r="J62" s="31" t="str">
        <f t="shared" si="0"/>
        <v/>
      </c>
      <c r="K62" s="21"/>
      <c r="L62" s="21"/>
      <c r="M62" s="22"/>
      <c r="N62" s="21"/>
      <c r="O62" s="21" t="s">
        <v>50</v>
      </c>
      <c r="P62" s="23"/>
      <c r="Q62" s="24"/>
      <c r="R62" s="25" t="str">
        <f t="shared" si="3"/>
        <v/>
      </c>
      <c r="S62" s="21"/>
      <c r="T62" s="22"/>
      <c r="U62" s="22"/>
      <c r="V62" s="21"/>
      <c r="W62" s="21" t="s">
        <v>51</v>
      </c>
      <c r="X62" s="21"/>
      <c r="Y62" s="21"/>
      <c r="Z62" s="21"/>
      <c r="AA62" s="10" t="s">
        <v>108</v>
      </c>
      <c r="AB62" s="10" t="s">
        <v>123</v>
      </c>
      <c r="AG62" s="21"/>
      <c r="AH62" s="22"/>
      <c r="AI62" s="22"/>
      <c r="AJ62" s="22"/>
      <c r="AK62" s="22"/>
      <c r="AL62" s="22"/>
      <c r="AM62" s="22"/>
      <c r="AN62" s="24"/>
      <c r="AO62" s="22"/>
      <c r="AP62" s="24"/>
      <c r="AQ62" s="22"/>
      <c r="AR62" s="24"/>
      <c r="AS62" s="24"/>
      <c r="AT62" s="27"/>
      <c r="AV62" s="28"/>
      <c r="AW62" s="28"/>
    </row>
    <row r="63" spans="1:49">
      <c r="A63" s="17" t="s">
        <v>46</v>
      </c>
      <c r="B63" s="4" t="s">
        <v>138</v>
      </c>
      <c r="C63" s="4">
        <v>52</v>
      </c>
      <c r="D63" s="4" t="s">
        <v>48</v>
      </c>
      <c r="E63" s="30"/>
      <c r="F63" s="4" t="s">
        <v>49</v>
      </c>
      <c r="G63" s="19">
        <v>45028.5256944444</v>
      </c>
      <c r="H63" s="19">
        <v>44839</v>
      </c>
      <c r="I63" s="19">
        <v>45034</v>
      </c>
      <c r="J63" s="31">
        <f t="shared" si="0"/>
        <v>196</v>
      </c>
      <c r="K63" s="21"/>
      <c r="L63" s="21"/>
      <c r="M63" s="22"/>
      <c r="N63" s="21"/>
      <c r="O63" s="21" t="s">
        <v>50</v>
      </c>
      <c r="P63" s="23"/>
      <c r="Q63" s="24"/>
      <c r="R63" s="25" t="str">
        <f t="shared" si="3"/>
        <v/>
      </c>
      <c r="S63" s="21"/>
      <c r="T63" s="22"/>
      <c r="U63" s="22"/>
      <c r="V63" s="21"/>
      <c r="W63" s="21" t="s">
        <v>51</v>
      </c>
      <c r="X63" s="21" t="s">
        <v>51</v>
      </c>
      <c r="Y63" s="21" t="s">
        <v>51</v>
      </c>
      <c r="Z63" s="21" t="s">
        <v>51</v>
      </c>
      <c r="AA63" s="10" t="s">
        <v>52</v>
      </c>
      <c r="AC63" s="10" t="s">
        <v>52</v>
      </c>
      <c r="AE63" s="10" t="s">
        <v>52</v>
      </c>
      <c r="AG63" s="21"/>
      <c r="AH63" s="22"/>
      <c r="AI63" s="22"/>
      <c r="AJ63" s="22"/>
      <c r="AK63" s="22"/>
      <c r="AL63" s="22"/>
      <c r="AM63" s="22"/>
      <c r="AN63" s="24"/>
      <c r="AO63" s="22"/>
      <c r="AP63" s="24"/>
      <c r="AQ63" s="22"/>
      <c r="AR63" s="24"/>
      <c r="AS63" s="24"/>
      <c r="AT63" s="27"/>
      <c r="AV63" s="28"/>
      <c r="AW63" s="28"/>
    </row>
    <row r="64" spans="1:49">
      <c r="A64" s="17" t="s">
        <v>46</v>
      </c>
      <c r="B64" s="4" t="s">
        <v>139</v>
      </c>
      <c r="C64" s="4">
        <v>41</v>
      </c>
      <c r="D64" s="4" t="s">
        <v>54</v>
      </c>
      <c r="E64" s="30"/>
      <c r="F64" s="4" t="s">
        <v>56</v>
      </c>
      <c r="G64" s="19" t="s">
        <v>57</v>
      </c>
      <c r="H64" s="19">
        <v>44843</v>
      </c>
      <c r="I64" s="19">
        <v>45078</v>
      </c>
      <c r="J64" s="31">
        <f t="shared" si="0"/>
        <v>236</v>
      </c>
      <c r="K64" s="21"/>
      <c r="L64" s="21"/>
      <c r="M64" s="22"/>
      <c r="N64" s="21"/>
      <c r="O64" s="21" t="s">
        <v>51</v>
      </c>
      <c r="P64" s="23"/>
      <c r="Q64" s="24"/>
      <c r="R64" s="25" t="str">
        <f t="shared" si="3"/>
        <v/>
      </c>
      <c r="S64" s="21"/>
      <c r="T64" s="22"/>
      <c r="U64" s="22"/>
      <c r="V64" s="21"/>
      <c r="W64" s="21" t="s">
        <v>51</v>
      </c>
      <c r="X64" s="21" t="s">
        <v>140</v>
      </c>
      <c r="Y64" s="21"/>
      <c r="Z64" s="21"/>
      <c r="AA64" s="10" t="s">
        <v>52</v>
      </c>
      <c r="AC64" s="10" t="s">
        <v>108</v>
      </c>
      <c r="AD64" s="10" t="s">
        <v>123</v>
      </c>
      <c r="AG64" s="21"/>
      <c r="AH64" s="22"/>
      <c r="AI64" s="22"/>
      <c r="AJ64" s="22"/>
      <c r="AK64" s="22"/>
      <c r="AL64" s="22"/>
      <c r="AM64" s="22"/>
      <c r="AN64" s="24"/>
      <c r="AO64" s="22"/>
      <c r="AP64" s="24"/>
      <c r="AQ64" s="22"/>
      <c r="AR64" s="24"/>
      <c r="AS64" s="24"/>
      <c r="AT64" s="27"/>
      <c r="AV64" s="28"/>
      <c r="AW64" s="28"/>
    </row>
    <row r="65" spans="1:49">
      <c r="A65" s="17" t="s">
        <v>46</v>
      </c>
      <c r="B65" s="4" t="s">
        <v>141</v>
      </c>
      <c r="C65" s="4">
        <v>57</v>
      </c>
      <c r="D65" s="4" t="s">
        <v>54</v>
      </c>
      <c r="E65" s="30"/>
      <c r="F65" s="4" t="s">
        <v>56</v>
      </c>
      <c r="G65" s="19" t="s">
        <v>57</v>
      </c>
      <c r="H65" s="19">
        <v>44843</v>
      </c>
      <c r="I65" s="19"/>
      <c r="J65" s="31" t="str">
        <f t="shared" si="0"/>
        <v/>
      </c>
      <c r="K65" s="21"/>
      <c r="L65" s="21"/>
      <c r="M65" s="22"/>
      <c r="N65" s="21"/>
      <c r="O65" s="21" t="s">
        <v>51</v>
      </c>
      <c r="P65" s="23"/>
      <c r="Q65" s="24"/>
      <c r="R65" s="25" t="str">
        <f t="shared" si="3"/>
        <v/>
      </c>
      <c r="S65" s="21"/>
      <c r="T65" s="22"/>
      <c r="U65" s="22"/>
      <c r="V65" s="21"/>
      <c r="W65" s="21" t="s">
        <v>140</v>
      </c>
      <c r="X65" s="21"/>
      <c r="Y65" s="21"/>
      <c r="Z65" s="21"/>
      <c r="AA65" s="10" t="s">
        <v>108</v>
      </c>
      <c r="AB65" s="10" t="s">
        <v>123</v>
      </c>
      <c r="AG65" s="21"/>
      <c r="AH65" s="22"/>
      <c r="AI65" s="22"/>
      <c r="AJ65" s="22"/>
      <c r="AK65" s="22"/>
      <c r="AL65" s="22"/>
      <c r="AM65" s="22"/>
      <c r="AN65" s="24"/>
      <c r="AO65" s="22"/>
      <c r="AP65" s="24"/>
      <c r="AQ65" s="22"/>
      <c r="AR65" s="24"/>
      <c r="AS65" s="24"/>
      <c r="AT65" s="27"/>
      <c r="AV65" s="28"/>
      <c r="AW65" s="28"/>
    </row>
    <row r="66" spans="1:49">
      <c r="A66" s="17" t="s">
        <v>46</v>
      </c>
      <c r="B66" s="4" t="s">
        <v>142</v>
      </c>
      <c r="C66" s="4">
        <v>25</v>
      </c>
      <c r="D66" s="4" t="s">
        <v>54</v>
      </c>
      <c r="E66" s="30"/>
      <c r="F66" s="4" t="s">
        <v>49</v>
      </c>
      <c r="G66" s="19" t="s">
        <v>57</v>
      </c>
      <c r="H66" s="19">
        <v>44845</v>
      </c>
      <c r="I66" s="19">
        <v>45038</v>
      </c>
      <c r="J66" s="31">
        <f t="shared" si="0"/>
        <v>194</v>
      </c>
      <c r="K66" s="21"/>
      <c r="L66" s="21"/>
      <c r="M66" s="22"/>
      <c r="N66" s="21"/>
      <c r="O66" s="21" t="s">
        <v>51</v>
      </c>
      <c r="P66" s="23"/>
      <c r="Q66" s="24"/>
      <c r="R66" s="25" t="str">
        <f t="shared" si="3"/>
        <v/>
      </c>
      <c r="S66" s="21"/>
      <c r="T66" s="22"/>
      <c r="U66" s="22"/>
      <c r="V66" s="21"/>
      <c r="W66" s="21" t="s">
        <v>51</v>
      </c>
      <c r="X66" s="21" t="s">
        <v>51</v>
      </c>
      <c r="Y66" s="21" t="s">
        <v>51</v>
      </c>
      <c r="Z66" s="21"/>
      <c r="AA66" s="10" t="s">
        <v>52</v>
      </c>
      <c r="AC66" s="10" t="s">
        <v>52</v>
      </c>
      <c r="AE66" s="10" t="s">
        <v>108</v>
      </c>
      <c r="AF66" s="10" t="s">
        <v>123</v>
      </c>
      <c r="AG66" s="21"/>
      <c r="AH66" s="22"/>
      <c r="AI66" s="22"/>
      <c r="AJ66" s="22"/>
      <c r="AK66" s="22"/>
      <c r="AL66" s="22"/>
      <c r="AM66" s="22"/>
      <c r="AN66" s="24"/>
      <c r="AO66" s="22"/>
      <c r="AP66" s="24"/>
      <c r="AQ66" s="22"/>
      <c r="AR66" s="24"/>
      <c r="AS66" s="24"/>
      <c r="AT66" s="27"/>
      <c r="AV66" s="28"/>
      <c r="AW66" s="28"/>
    </row>
    <row r="67" spans="1:49">
      <c r="A67" s="17" t="s">
        <v>46</v>
      </c>
      <c r="B67" s="4" t="s">
        <v>143</v>
      </c>
      <c r="C67" s="4">
        <v>33</v>
      </c>
      <c r="D67" s="4" t="s">
        <v>54</v>
      </c>
      <c r="E67" s="30"/>
      <c r="F67" s="4" t="s">
        <v>49</v>
      </c>
      <c r="G67" s="19">
        <v>45016.6001967593</v>
      </c>
      <c r="H67" s="19">
        <v>44845</v>
      </c>
      <c r="I67" s="19">
        <v>45028</v>
      </c>
      <c r="J67" s="31">
        <f t="shared" ref="J67:J87" si="4">IF(AND(H67&lt;&gt;"",I67&lt;&gt;""),I67-H67+1,"")</f>
        <v>184</v>
      </c>
      <c r="K67" s="21"/>
      <c r="L67" s="21"/>
      <c r="M67" s="22"/>
      <c r="N67" s="21"/>
      <c r="O67" s="21" t="s">
        <v>50</v>
      </c>
      <c r="P67" s="23"/>
      <c r="Q67" s="24"/>
      <c r="R67" s="25" t="str">
        <f t="shared" si="3"/>
        <v/>
      </c>
      <c r="S67" s="21"/>
      <c r="T67" s="22"/>
      <c r="U67" s="22"/>
      <c r="V67" s="21"/>
      <c r="W67" s="21" t="s">
        <v>51</v>
      </c>
      <c r="X67" s="21" t="s">
        <v>51</v>
      </c>
      <c r="Y67" s="21" t="s">
        <v>51</v>
      </c>
      <c r="Z67" s="21" t="s">
        <v>140</v>
      </c>
      <c r="AA67" s="10" t="s">
        <v>52</v>
      </c>
      <c r="AC67" s="10" t="s">
        <v>52</v>
      </c>
      <c r="AG67" s="21"/>
      <c r="AH67" s="22"/>
      <c r="AI67" s="22"/>
      <c r="AJ67" s="22"/>
      <c r="AK67" s="22"/>
      <c r="AL67" s="22"/>
      <c r="AM67" s="22"/>
      <c r="AN67" s="24"/>
      <c r="AO67" s="22"/>
      <c r="AP67" s="24"/>
      <c r="AQ67" s="22"/>
      <c r="AR67" s="24"/>
      <c r="AS67" s="24"/>
      <c r="AT67" s="27"/>
      <c r="AV67" s="28"/>
      <c r="AW67" s="28"/>
    </row>
    <row r="68" spans="1:49">
      <c r="A68" s="17" t="s">
        <v>46</v>
      </c>
      <c r="B68" s="4" t="s">
        <v>144</v>
      </c>
      <c r="C68" s="4">
        <v>42</v>
      </c>
      <c r="D68" s="4" t="s">
        <v>48</v>
      </c>
      <c r="E68" s="30"/>
      <c r="F68" s="4" t="s">
        <v>49</v>
      </c>
      <c r="G68" s="19">
        <v>45016.6013310185</v>
      </c>
      <c r="H68" s="19">
        <v>44847</v>
      </c>
      <c r="I68" s="32">
        <v>45065</v>
      </c>
      <c r="J68" s="31">
        <f t="shared" si="4"/>
        <v>219</v>
      </c>
      <c r="K68" s="21"/>
      <c r="L68" s="21"/>
      <c r="M68" s="22"/>
      <c r="N68" s="21"/>
      <c r="O68" s="21" t="s">
        <v>50</v>
      </c>
      <c r="P68" s="23"/>
      <c r="Q68" s="24"/>
      <c r="R68" s="25" t="str">
        <f t="shared" si="3"/>
        <v/>
      </c>
      <c r="S68" s="21"/>
      <c r="T68" s="22"/>
      <c r="U68" s="22"/>
      <c r="V68" s="21"/>
      <c r="W68" s="21" t="s">
        <v>50</v>
      </c>
      <c r="X68" s="21" t="s">
        <v>51</v>
      </c>
      <c r="Y68" s="21" t="s">
        <v>51</v>
      </c>
      <c r="Z68" s="21"/>
      <c r="AA68" s="10" t="s">
        <v>108</v>
      </c>
      <c r="AB68" s="10" t="s">
        <v>123</v>
      </c>
      <c r="AG68" s="21"/>
      <c r="AH68" s="22"/>
      <c r="AI68" s="22"/>
      <c r="AJ68" s="22"/>
      <c r="AK68" s="22"/>
      <c r="AL68" s="22"/>
      <c r="AM68" s="22"/>
      <c r="AN68" s="24"/>
      <c r="AO68" s="22"/>
      <c r="AP68" s="24"/>
      <c r="AQ68" s="22"/>
      <c r="AR68" s="24"/>
      <c r="AS68" s="24"/>
      <c r="AT68" s="27"/>
      <c r="AV68" s="28"/>
      <c r="AW68" s="28"/>
    </row>
    <row r="69" spans="1:49">
      <c r="A69" s="17" t="s">
        <v>46</v>
      </c>
      <c r="B69" s="4" t="s">
        <v>145</v>
      </c>
      <c r="C69" s="4">
        <v>37</v>
      </c>
      <c r="D69" s="4" t="s">
        <v>48</v>
      </c>
      <c r="E69" s="30"/>
      <c r="F69" s="4" t="s">
        <v>49</v>
      </c>
      <c r="G69" s="19">
        <v>45016.6019097222</v>
      </c>
      <c r="H69" s="19">
        <v>44848</v>
      </c>
      <c r="I69" s="32"/>
      <c r="J69" s="31" t="str">
        <f t="shared" si="4"/>
        <v/>
      </c>
      <c r="K69" s="21"/>
      <c r="L69" s="21"/>
      <c r="M69" s="22"/>
      <c r="N69" s="21"/>
      <c r="O69" s="21" t="s">
        <v>50</v>
      </c>
      <c r="P69" s="23"/>
      <c r="Q69" s="24"/>
      <c r="R69" s="25" t="str">
        <f t="shared" si="3"/>
        <v/>
      </c>
      <c r="S69" s="21"/>
      <c r="T69" s="22"/>
      <c r="U69" s="22"/>
      <c r="V69" s="21"/>
      <c r="W69" s="21" t="s">
        <v>51</v>
      </c>
      <c r="X69" s="21"/>
      <c r="Y69" s="21"/>
      <c r="Z69" s="21"/>
      <c r="AA69" s="10" t="s">
        <v>52</v>
      </c>
      <c r="AC69" s="10" t="s">
        <v>52</v>
      </c>
      <c r="AG69" s="21"/>
      <c r="AH69" s="22"/>
      <c r="AI69" s="22"/>
      <c r="AJ69" s="22"/>
      <c r="AK69" s="22"/>
      <c r="AL69" s="22"/>
      <c r="AM69" s="22"/>
      <c r="AN69" s="24"/>
      <c r="AO69" s="22"/>
      <c r="AP69" s="24"/>
      <c r="AQ69" s="22"/>
      <c r="AR69" s="24"/>
      <c r="AS69" s="24"/>
      <c r="AT69" s="27"/>
      <c r="AV69" s="28"/>
      <c r="AW69" s="28"/>
    </row>
    <row r="70" spans="1:49">
      <c r="A70" s="17" t="s">
        <v>46</v>
      </c>
      <c r="B70" s="4" t="s">
        <v>146</v>
      </c>
      <c r="C70" s="4">
        <v>24</v>
      </c>
      <c r="D70" s="4" t="s">
        <v>48</v>
      </c>
      <c r="E70" s="30"/>
      <c r="F70" s="4" t="s">
        <v>56</v>
      </c>
      <c r="G70" s="19" t="s">
        <v>57</v>
      </c>
      <c r="H70" s="19">
        <v>44848</v>
      </c>
      <c r="I70" s="32">
        <v>45120</v>
      </c>
      <c r="J70" s="31">
        <f t="shared" si="4"/>
        <v>273</v>
      </c>
      <c r="K70" s="21"/>
      <c r="L70" s="21"/>
      <c r="M70" s="22"/>
      <c r="N70" s="21"/>
      <c r="O70" s="21" t="s">
        <v>51</v>
      </c>
      <c r="P70" s="23"/>
      <c r="Q70" s="24"/>
      <c r="R70" s="25" t="str">
        <f t="shared" si="3"/>
        <v/>
      </c>
      <c r="S70" s="21"/>
      <c r="T70" s="22"/>
      <c r="U70" s="22"/>
      <c r="V70" s="21"/>
      <c r="W70" s="21" t="s">
        <v>51</v>
      </c>
      <c r="X70" s="21" t="s">
        <v>51</v>
      </c>
      <c r="Y70" s="21" t="s">
        <v>51</v>
      </c>
      <c r="Z70" s="21" t="s">
        <v>140</v>
      </c>
      <c r="AA70" s="10" t="s">
        <v>52</v>
      </c>
      <c r="AC70" s="10" t="s">
        <v>52</v>
      </c>
      <c r="AG70" s="21"/>
      <c r="AH70" s="22"/>
      <c r="AI70" s="22"/>
      <c r="AJ70" s="22"/>
      <c r="AK70" s="22"/>
      <c r="AL70" s="22"/>
      <c r="AM70" s="22"/>
      <c r="AN70" s="24"/>
      <c r="AO70" s="22"/>
      <c r="AP70" s="24"/>
      <c r="AQ70" s="22"/>
      <c r="AR70" s="24"/>
      <c r="AS70" s="24"/>
      <c r="AT70" s="27"/>
      <c r="AV70" s="28"/>
      <c r="AW70" s="28"/>
    </row>
    <row r="71" spans="1:49">
      <c r="A71" s="17" t="s">
        <v>46</v>
      </c>
      <c r="B71" s="4" t="s">
        <v>147</v>
      </c>
      <c r="C71" s="4">
        <v>28</v>
      </c>
      <c r="D71" s="4" t="s">
        <v>54</v>
      </c>
      <c r="E71" s="30"/>
      <c r="F71" s="4" t="s">
        <v>64</v>
      </c>
      <c r="G71" s="19" t="s">
        <v>57</v>
      </c>
      <c r="H71" s="19">
        <v>44851</v>
      </c>
      <c r="I71" s="32">
        <v>45029</v>
      </c>
      <c r="J71" s="31">
        <f t="shared" si="4"/>
        <v>179</v>
      </c>
      <c r="K71" s="21"/>
      <c r="L71" s="21"/>
      <c r="M71" s="22"/>
      <c r="N71" s="21"/>
      <c r="O71" s="21" t="s">
        <v>50</v>
      </c>
      <c r="P71" s="23"/>
      <c r="Q71" s="24"/>
      <c r="R71" s="25" t="str">
        <f t="shared" si="3"/>
        <v/>
      </c>
      <c r="S71" s="21"/>
      <c r="T71" s="22"/>
      <c r="U71" s="22"/>
      <c r="V71" s="21"/>
      <c r="W71" s="21" t="s">
        <v>51</v>
      </c>
      <c r="X71" s="21" t="s">
        <v>51</v>
      </c>
      <c r="Y71" s="21" t="s">
        <v>51</v>
      </c>
      <c r="Z71" s="21" t="s">
        <v>140</v>
      </c>
      <c r="AA71" s="10" t="s">
        <v>52</v>
      </c>
      <c r="AC71" s="10" t="s">
        <v>52</v>
      </c>
      <c r="AG71" s="21"/>
      <c r="AH71" s="22"/>
      <c r="AI71" s="22"/>
      <c r="AJ71" s="22"/>
      <c r="AK71" s="22"/>
      <c r="AL71" s="22"/>
      <c r="AM71" s="22"/>
      <c r="AN71" s="24"/>
      <c r="AO71" s="22"/>
      <c r="AP71" s="24"/>
      <c r="AQ71" s="22"/>
      <c r="AR71" s="24"/>
      <c r="AS71" s="24"/>
      <c r="AT71" s="27"/>
      <c r="AV71" s="28"/>
      <c r="AW71" s="28"/>
    </row>
    <row r="72" spans="1:49">
      <c r="A72" s="17" t="s">
        <v>46</v>
      </c>
      <c r="B72" s="4" t="s">
        <v>148</v>
      </c>
      <c r="C72" s="4">
        <v>28</v>
      </c>
      <c r="D72" s="4" t="s">
        <v>54</v>
      </c>
      <c r="E72" s="30"/>
      <c r="F72" s="4" t="s">
        <v>49</v>
      </c>
      <c r="G72" s="19">
        <v>45042.4415162037</v>
      </c>
      <c r="H72" s="19">
        <v>44857</v>
      </c>
      <c r="I72" s="32">
        <v>45133</v>
      </c>
      <c r="J72" s="31">
        <f t="shared" si="4"/>
        <v>277</v>
      </c>
      <c r="K72" s="21"/>
      <c r="L72" s="21"/>
      <c r="M72" s="22"/>
      <c r="N72" s="21"/>
      <c r="O72" s="21" t="s">
        <v>50</v>
      </c>
      <c r="P72" s="23"/>
      <c r="Q72" s="24"/>
      <c r="R72" s="25" t="str">
        <f t="shared" si="3"/>
        <v/>
      </c>
      <c r="S72" s="21"/>
      <c r="T72" s="22"/>
      <c r="U72" s="22"/>
      <c r="V72" s="21"/>
      <c r="W72" s="21" t="s">
        <v>51</v>
      </c>
      <c r="X72" s="21" t="s">
        <v>51</v>
      </c>
      <c r="Y72" s="21" t="s">
        <v>140</v>
      </c>
      <c r="Z72" s="21" t="s">
        <v>51</v>
      </c>
      <c r="AA72" s="10" t="s">
        <v>52</v>
      </c>
      <c r="AE72" s="10" t="s">
        <v>52</v>
      </c>
      <c r="AG72" s="21"/>
      <c r="AH72" s="22"/>
      <c r="AI72" s="22"/>
      <c r="AJ72" s="22"/>
      <c r="AK72" s="22"/>
      <c r="AL72" s="22"/>
      <c r="AM72" s="22"/>
      <c r="AN72" s="24"/>
      <c r="AO72" s="22"/>
      <c r="AP72" s="24"/>
      <c r="AQ72" s="22"/>
      <c r="AR72" s="24"/>
      <c r="AS72" s="24"/>
      <c r="AT72" s="27"/>
      <c r="AV72" s="28"/>
      <c r="AW72" s="28"/>
    </row>
    <row r="73" spans="1:49">
      <c r="A73" s="17" t="s">
        <v>46</v>
      </c>
      <c r="B73" s="4" t="s">
        <v>149</v>
      </c>
      <c r="C73" s="4">
        <v>53</v>
      </c>
      <c r="D73" s="4" t="s">
        <v>48</v>
      </c>
      <c r="E73" s="30"/>
      <c r="F73" s="4" t="s">
        <v>49</v>
      </c>
      <c r="G73" s="19">
        <v>45016.6044907407</v>
      </c>
      <c r="H73" s="19">
        <v>44860</v>
      </c>
      <c r="I73" s="32">
        <v>45064</v>
      </c>
      <c r="J73" s="31">
        <f t="shared" si="4"/>
        <v>205</v>
      </c>
      <c r="K73" s="21"/>
      <c r="L73" s="21"/>
      <c r="M73" s="22"/>
      <c r="N73" s="21"/>
      <c r="O73" s="21" t="s">
        <v>50</v>
      </c>
      <c r="P73" s="23"/>
      <c r="Q73" s="24"/>
      <c r="R73" s="25" t="str">
        <f t="shared" si="3"/>
        <v/>
      </c>
      <c r="S73" s="21"/>
      <c r="T73" s="22"/>
      <c r="U73" s="22"/>
      <c r="V73" s="21"/>
      <c r="W73" s="21" t="s">
        <v>51</v>
      </c>
      <c r="X73" s="21" t="s">
        <v>51</v>
      </c>
      <c r="Y73" s="21" t="s">
        <v>140</v>
      </c>
      <c r="Z73" s="21" t="s">
        <v>51</v>
      </c>
      <c r="AA73" s="10" t="s">
        <v>52</v>
      </c>
      <c r="AE73" s="10" t="s">
        <v>52</v>
      </c>
      <c r="AG73" s="21"/>
      <c r="AH73" s="22"/>
      <c r="AI73" s="22"/>
      <c r="AJ73" s="22"/>
      <c r="AK73" s="22"/>
      <c r="AL73" s="22"/>
      <c r="AM73" s="22"/>
      <c r="AN73" s="24"/>
      <c r="AO73" s="22"/>
      <c r="AP73" s="24"/>
      <c r="AQ73" s="22"/>
      <c r="AR73" s="24"/>
      <c r="AS73" s="24"/>
      <c r="AT73" s="27"/>
      <c r="AV73" s="28"/>
      <c r="AW73" s="28"/>
    </row>
    <row r="74" spans="1:49">
      <c r="A74" s="17" t="s">
        <v>46</v>
      </c>
      <c r="B74" s="4" t="s">
        <v>150</v>
      </c>
      <c r="C74" s="21">
        <v>50</v>
      </c>
      <c r="D74" s="21" t="s">
        <v>48</v>
      </c>
      <c r="E74" s="30"/>
      <c r="F74" s="4" t="s">
        <v>56</v>
      </c>
      <c r="G74" s="19" t="s">
        <v>57</v>
      </c>
      <c r="H74" s="19">
        <v>44862</v>
      </c>
      <c r="I74" s="32">
        <v>45056</v>
      </c>
      <c r="J74" s="31">
        <f t="shared" si="4"/>
        <v>195</v>
      </c>
      <c r="K74" s="21"/>
      <c r="L74" s="21"/>
      <c r="M74" s="22"/>
      <c r="N74" s="21"/>
      <c r="O74" s="21" t="s">
        <v>50</v>
      </c>
      <c r="P74" s="23"/>
      <c r="Q74" s="24"/>
      <c r="R74" s="25" t="str">
        <f t="shared" si="3"/>
        <v/>
      </c>
      <c r="S74" s="21"/>
      <c r="T74" s="22"/>
      <c r="U74" s="22"/>
      <c r="V74" s="21"/>
      <c r="W74" s="21" t="s">
        <v>51</v>
      </c>
      <c r="X74" s="21" t="s">
        <v>51</v>
      </c>
      <c r="Y74" s="21" t="s">
        <v>51</v>
      </c>
      <c r="Z74" s="21"/>
      <c r="AA74" s="10" t="s">
        <v>52</v>
      </c>
      <c r="AC74" s="10" t="s">
        <v>52</v>
      </c>
      <c r="AE74" s="10" t="s">
        <v>108</v>
      </c>
      <c r="AF74" s="10" t="s">
        <v>123</v>
      </c>
      <c r="AG74" s="21"/>
      <c r="AH74" s="22"/>
      <c r="AI74" s="22"/>
      <c r="AJ74" s="22"/>
      <c r="AK74" s="22"/>
      <c r="AL74" s="22"/>
      <c r="AM74" s="22"/>
      <c r="AN74" s="24"/>
      <c r="AO74" s="22"/>
      <c r="AP74" s="24"/>
      <c r="AQ74" s="22"/>
      <c r="AR74" s="24"/>
      <c r="AS74" s="24"/>
      <c r="AT74" s="27"/>
      <c r="AV74" s="28"/>
      <c r="AW74" s="28"/>
    </row>
    <row r="75" spans="1:49">
      <c r="A75" s="17" t="s">
        <v>46</v>
      </c>
      <c r="B75" s="4" t="s">
        <v>151</v>
      </c>
      <c r="C75" s="4"/>
      <c r="D75" s="4" t="s">
        <v>48</v>
      </c>
      <c r="E75" s="30"/>
      <c r="F75" s="4" t="s">
        <v>49</v>
      </c>
      <c r="G75" s="19" t="s">
        <v>57</v>
      </c>
      <c r="H75" s="19">
        <v>44862</v>
      </c>
      <c r="I75" s="32"/>
      <c r="J75" s="31" t="str">
        <f t="shared" si="4"/>
        <v/>
      </c>
      <c r="K75" s="21"/>
      <c r="L75" s="21"/>
      <c r="M75" s="22"/>
      <c r="N75" s="21"/>
      <c r="O75" s="21" t="s">
        <v>50</v>
      </c>
      <c r="P75" s="23"/>
      <c r="Q75" s="24"/>
      <c r="R75" s="25" t="str">
        <f t="shared" si="3"/>
        <v/>
      </c>
      <c r="S75" s="21"/>
      <c r="T75" s="22"/>
      <c r="U75" s="22"/>
      <c r="V75" s="21"/>
      <c r="W75" s="21"/>
      <c r="X75" s="21"/>
      <c r="Y75" s="21"/>
      <c r="Z75" s="21"/>
      <c r="AA75" s="10" t="s">
        <v>108</v>
      </c>
      <c r="AB75" s="10" t="s">
        <v>123</v>
      </c>
      <c r="AG75" s="21"/>
      <c r="AH75" s="22"/>
      <c r="AI75" s="22"/>
      <c r="AJ75" s="22"/>
      <c r="AK75" s="22"/>
      <c r="AL75" s="22"/>
      <c r="AM75" s="22"/>
      <c r="AN75" s="24"/>
      <c r="AO75" s="22"/>
      <c r="AP75" s="24"/>
      <c r="AQ75" s="22"/>
      <c r="AR75" s="24"/>
      <c r="AS75" s="24"/>
      <c r="AT75" s="27"/>
      <c r="AV75" s="28"/>
      <c r="AW75" s="28"/>
    </row>
    <row r="76" spans="1:49">
      <c r="A76" s="17" t="s">
        <v>46</v>
      </c>
      <c r="B76" s="4" t="s">
        <v>152</v>
      </c>
      <c r="C76" s="4">
        <v>36</v>
      </c>
      <c r="D76" s="4" t="s">
        <v>54</v>
      </c>
      <c r="E76" s="30"/>
      <c r="F76" s="4" t="s">
        <v>49</v>
      </c>
      <c r="G76" s="19">
        <v>45540.3835648148</v>
      </c>
      <c r="H76" s="19">
        <v>44865</v>
      </c>
      <c r="I76" s="32">
        <v>45134</v>
      </c>
      <c r="J76" s="31">
        <f t="shared" si="4"/>
        <v>270</v>
      </c>
      <c r="K76" s="21"/>
      <c r="L76" s="21"/>
      <c r="M76" s="22"/>
      <c r="N76" s="21"/>
      <c r="O76" s="21" t="s">
        <v>50</v>
      </c>
      <c r="P76" s="23"/>
      <c r="Q76" s="24"/>
      <c r="R76" s="25" t="str">
        <f t="shared" si="3"/>
        <v/>
      </c>
      <c r="S76" s="21"/>
      <c r="T76" s="22"/>
      <c r="U76" s="22"/>
      <c r="V76" s="21"/>
      <c r="W76" s="21" t="s">
        <v>51</v>
      </c>
      <c r="X76" s="21" t="s">
        <v>51</v>
      </c>
      <c r="Y76" s="21" t="s">
        <v>51</v>
      </c>
      <c r="Z76" s="21" t="s">
        <v>51</v>
      </c>
      <c r="AA76" s="10" t="s">
        <v>52</v>
      </c>
      <c r="AC76" s="10" t="s">
        <v>52</v>
      </c>
      <c r="AE76" s="10" t="s">
        <v>52</v>
      </c>
      <c r="AG76" s="21"/>
      <c r="AH76" s="22"/>
      <c r="AI76" s="22"/>
      <c r="AJ76" s="22"/>
      <c r="AK76" s="22"/>
      <c r="AL76" s="22"/>
      <c r="AM76" s="22"/>
      <c r="AN76" s="24"/>
      <c r="AO76" s="22"/>
      <c r="AP76" s="24"/>
      <c r="AQ76" s="22"/>
      <c r="AR76" s="24"/>
      <c r="AS76" s="24"/>
      <c r="AT76" s="27"/>
      <c r="AV76" s="28"/>
      <c r="AW76" s="28"/>
    </row>
    <row r="77" spans="1:49">
      <c r="A77" s="17" t="s">
        <v>46</v>
      </c>
      <c r="B77" s="4" t="s">
        <v>153</v>
      </c>
      <c r="C77" s="4">
        <v>26</v>
      </c>
      <c r="D77" s="4" t="s">
        <v>48</v>
      </c>
      <c r="E77" s="30"/>
      <c r="F77" s="4" t="s">
        <v>49</v>
      </c>
      <c r="G77" s="19">
        <v>45020.6618634259</v>
      </c>
      <c r="H77" s="19">
        <v>44865</v>
      </c>
      <c r="I77" s="32">
        <v>45066</v>
      </c>
      <c r="J77" s="31">
        <f t="shared" si="4"/>
        <v>202</v>
      </c>
      <c r="K77" s="21"/>
      <c r="L77" s="21"/>
      <c r="M77" s="22"/>
      <c r="N77" s="21"/>
      <c r="O77" s="21" t="s">
        <v>50</v>
      </c>
      <c r="P77" s="23"/>
      <c r="Q77" s="24"/>
      <c r="R77" s="25" t="str">
        <f t="shared" si="3"/>
        <v/>
      </c>
      <c r="S77" s="21"/>
      <c r="T77" s="22"/>
      <c r="U77" s="22"/>
      <c r="V77" s="21"/>
      <c r="W77" s="21" t="s">
        <v>51</v>
      </c>
      <c r="X77" s="21" t="s">
        <v>140</v>
      </c>
      <c r="Y77" s="21" t="s">
        <v>51</v>
      </c>
      <c r="Z77" s="21"/>
      <c r="AA77" s="10" t="s">
        <v>52</v>
      </c>
      <c r="AC77" s="10" t="s">
        <v>52</v>
      </c>
      <c r="AE77" s="10" t="s">
        <v>108</v>
      </c>
      <c r="AF77" s="10" t="s">
        <v>123</v>
      </c>
      <c r="AG77" s="21"/>
      <c r="AH77" s="22"/>
      <c r="AI77" s="22"/>
      <c r="AJ77" s="22"/>
      <c r="AK77" s="22"/>
      <c r="AL77" s="22"/>
      <c r="AM77" s="22"/>
      <c r="AN77" s="24"/>
      <c r="AO77" s="22"/>
      <c r="AP77" s="24"/>
      <c r="AQ77" s="22"/>
      <c r="AR77" s="24"/>
      <c r="AS77" s="24"/>
      <c r="AT77" s="27"/>
      <c r="AV77" s="28"/>
      <c r="AW77" s="28"/>
    </row>
    <row r="78" spans="1:49">
      <c r="A78" s="17" t="s">
        <v>46</v>
      </c>
      <c r="B78" s="4" t="s">
        <v>154</v>
      </c>
      <c r="C78" s="4">
        <v>32</v>
      </c>
      <c r="D78" s="4" t="s">
        <v>54</v>
      </c>
      <c r="E78" s="30"/>
      <c r="F78" s="4" t="s">
        <v>49</v>
      </c>
      <c r="G78" s="19">
        <v>45050.3724421296</v>
      </c>
      <c r="H78" s="19">
        <v>44867</v>
      </c>
      <c r="I78" s="32">
        <v>45141</v>
      </c>
      <c r="J78" s="31">
        <f t="shared" si="4"/>
        <v>275</v>
      </c>
      <c r="K78" s="21"/>
      <c r="L78" s="21"/>
      <c r="M78" s="22"/>
      <c r="N78" s="21"/>
      <c r="O78" s="21" t="s">
        <v>50</v>
      </c>
      <c r="P78" s="23"/>
      <c r="Q78" s="24"/>
      <c r="R78" s="25" t="str">
        <f t="shared" si="3"/>
        <v/>
      </c>
      <c r="S78" s="21"/>
      <c r="T78" s="22"/>
      <c r="U78" s="22"/>
      <c r="V78" s="21"/>
      <c r="W78" s="21" t="s">
        <v>51</v>
      </c>
      <c r="X78" s="21" t="s">
        <v>51</v>
      </c>
      <c r="Y78" s="21" t="s">
        <v>51</v>
      </c>
      <c r="Z78" s="21"/>
      <c r="AA78" s="10" t="s">
        <v>52</v>
      </c>
      <c r="AC78" s="10" t="s">
        <v>52</v>
      </c>
      <c r="AE78" s="10" t="s">
        <v>108</v>
      </c>
      <c r="AF78" s="10" t="s">
        <v>123</v>
      </c>
      <c r="AG78" s="21"/>
      <c r="AH78" s="22"/>
      <c r="AI78" s="22"/>
      <c r="AJ78" s="22"/>
      <c r="AK78" s="22"/>
      <c r="AL78" s="22"/>
      <c r="AM78" s="22"/>
      <c r="AN78" s="24"/>
      <c r="AO78" s="22"/>
      <c r="AP78" s="24"/>
      <c r="AQ78" s="22"/>
      <c r="AR78" s="24"/>
      <c r="AS78" s="24"/>
      <c r="AT78" s="27"/>
      <c r="AV78" s="28"/>
      <c r="AW78" s="28"/>
    </row>
    <row r="79" spans="1:49">
      <c r="A79" s="17" t="s">
        <v>46</v>
      </c>
      <c r="B79" s="4" t="s">
        <v>155</v>
      </c>
      <c r="C79" s="4">
        <v>38</v>
      </c>
      <c r="D79" s="4" t="s">
        <v>54</v>
      </c>
      <c r="E79" s="30"/>
      <c r="F79" s="4" t="s">
        <v>64</v>
      </c>
      <c r="G79" s="19" t="s">
        <v>57</v>
      </c>
      <c r="H79" s="19">
        <v>44869</v>
      </c>
      <c r="I79" s="32">
        <v>45052</v>
      </c>
      <c r="J79" s="31">
        <f t="shared" si="4"/>
        <v>184</v>
      </c>
      <c r="K79" s="21"/>
      <c r="L79" s="21"/>
      <c r="M79" s="22"/>
      <c r="N79" s="21"/>
      <c r="O79" s="21" t="s">
        <v>50</v>
      </c>
      <c r="P79" s="23"/>
      <c r="Q79" s="24"/>
      <c r="R79" s="25" t="str">
        <f t="shared" si="3"/>
        <v/>
      </c>
      <c r="S79" s="21"/>
      <c r="T79" s="22"/>
      <c r="U79" s="22"/>
      <c r="V79" s="21"/>
      <c r="W79" s="21" t="s">
        <v>51</v>
      </c>
      <c r="X79" s="21" t="s">
        <v>51</v>
      </c>
      <c r="Y79" s="21" t="s">
        <v>51</v>
      </c>
      <c r="Z79" s="21" t="s">
        <v>51</v>
      </c>
      <c r="AA79" s="10" t="s">
        <v>52</v>
      </c>
      <c r="AC79" s="10" t="s">
        <v>52</v>
      </c>
      <c r="AE79" s="10" t="s">
        <v>52</v>
      </c>
      <c r="AG79" s="21"/>
      <c r="AH79" s="22"/>
      <c r="AI79" s="22"/>
      <c r="AJ79" s="22"/>
      <c r="AK79" s="22"/>
      <c r="AL79" s="22"/>
      <c r="AM79" s="22"/>
      <c r="AN79" s="24"/>
      <c r="AO79" s="22"/>
      <c r="AP79" s="24"/>
      <c r="AQ79" s="22"/>
      <c r="AR79" s="24"/>
      <c r="AS79" s="24"/>
      <c r="AT79" s="27"/>
      <c r="AV79" s="28"/>
      <c r="AW79" s="28"/>
    </row>
    <row r="80" spans="1:49">
      <c r="A80" s="17" t="s">
        <v>46</v>
      </c>
      <c r="B80" s="4" t="s">
        <v>156</v>
      </c>
      <c r="C80" s="4">
        <v>24</v>
      </c>
      <c r="D80" s="4" t="s">
        <v>54</v>
      </c>
      <c r="E80" s="30"/>
      <c r="F80" s="4" t="s">
        <v>64</v>
      </c>
      <c r="G80" s="19" t="s">
        <v>57</v>
      </c>
      <c r="H80" s="19">
        <v>44869</v>
      </c>
      <c r="I80" s="32">
        <v>45050</v>
      </c>
      <c r="J80" s="31">
        <f t="shared" si="4"/>
        <v>182</v>
      </c>
      <c r="K80" s="21"/>
      <c r="L80" s="21"/>
      <c r="M80" s="22"/>
      <c r="N80" s="21"/>
      <c r="O80" s="21" t="s">
        <v>50</v>
      </c>
      <c r="P80" s="23"/>
      <c r="Q80" s="24"/>
      <c r="R80" s="25" t="str">
        <f t="shared" si="3"/>
        <v/>
      </c>
      <c r="S80" s="21"/>
      <c r="T80" s="22"/>
      <c r="U80" s="22"/>
      <c r="V80" s="21"/>
      <c r="W80" s="21" t="s">
        <v>51</v>
      </c>
      <c r="X80" s="21" t="s">
        <v>51</v>
      </c>
      <c r="Y80" s="21" t="s">
        <v>51</v>
      </c>
      <c r="Z80" s="21" t="s">
        <v>51</v>
      </c>
      <c r="AA80" s="10" t="s">
        <v>52</v>
      </c>
      <c r="AC80" s="10" t="s">
        <v>52</v>
      </c>
      <c r="AE80" s="10" t="s">
        <v>52</v>
      </c>
      <c r="AG80" s="21"/>
      <c r="AH80" s="22"/>
      <c r="AI80" s="22"/>
      <c r="AJ80" s="22"/>
      <c r="AK80" s="22"/>
      <c r="AL80" s="22"/>
      <c r="AM80" s="22"/>
      <c r="AN80" s="24"/>
      <c r="AO80" s="22"/>
      <c r="AP80" s="24"/>
      <c r="AQ80" s="22"/>
      <c r="AR80" s="24"/>
      <c r="AS80" s="24"/>
      <c r="AT80" s="27"/>
      <c r="AV80" s="28"/>
      <c r="AW80" s="28"/>
    </row>
    <row r="81" spans="1:49">
      <c r="A81" s="17" t="s">
        <v>46</v>
      </c>
      <c r="B81" s="4" t="s">
        <v>157</v>
      </c>
      <c r="C81" s="4">
        <v>65</v>
      </c>
      <c r="D81" s="4" t="s">
        <v>54</v>
      </c>
      <c r="E81" s="30"/>
      <c r="F81" s="4" t="s">
        <v>56</v>
      </c>
      <c r="G81" s="19" t="s">
        <v>57</v>
      </c>
      <c r="H81" s="19">
        <v>44873</v>
      </c>
      <c r="I81" s="32">
        <v>45057</v>
      </c>
      <c r="J81" s="31">
        <f t="shared" si="4"/>
        <v>185</v>
      </c>
      <c r="K81" s="21"/>
      <c r="L81" s="21"/>
      <c r="M81" s="22"/>
      <c r="N81" s="21"/>
      <c r="O81" s="21" t="s">
        <v>50</v>
      </c>
      <c r="P81" s="23"/>
      <c r="Q81" s="24"/>
      <c r="R81" s="25" t="str">
        <f t="shared" si="3"/>
        <v/>
      </c>
      <c r="S81" s="21"/>
      <c r="T81" s="22"/>
      <c r="U81" s="22"/>
      <c r="V81" s="21"/>
      <c r="W81" s="21" t="s">
        <v>51</v>
      </c>
      <c r="X81" s="21" t="s">
        <v>51</v>
      </c>
      <c r="Y81" s="21" t="s">
        <v>50</v>
      </c>
      <c r="Z81" s="21" t="s">
        <v>50</v>
      </c>
      <c r="AA81" s="10" t="s">
        <v>52</v>
      </c>
      <c r="AC81" s="10" t="s">
        <v>52</v>
      </c>
      <c r="AE81" s="10" t="s">
        <v>52</v>
      </c>
      <c r="AG81" s="21"/>
      <c r="AH81" s="22"/>
      <c r="AI81" s="22"/>
      <c r="AJ81" s="22"/>
      <c r="AK81" s="22"/>
      <c r="AL81" s="22"/>
      <c r="AM81" s="22"/>
      <c r="AN81" s="24"/>
      <c r="AO81" s="22"/>
      <c r="AP81" s="24"/>
      <c r="AQ81" s="22"/>
      <c r="AR81" s="24"/>
      <c r="AS81" s="24"/>
      <c r="AT81" s="27"/>
      <c r="AV81" s="28"/>
      <c r="AW81" s="28"/>
    </row>
    <row r="82" spans="1:49">
      <c r="A82" s="17" t="s">
        <v>46</v>
      </c>
      <c r="B82" s="4" t="s">
        <v>158</v>
      </c>
      <c r="C82" s="4">
        <v>48</v>
      </c>
      <c r="D82" s="4" t="s">
        <v>48</v>
      </c>
      <c r="E82" s="30"/>
      <c r="F82" s="4" t="s">
        <v>49</v>
      </c>
      <c r="G82" s="19">
        <v>45057.6195138889</v>
      </c>
      <c r="H82" s="19">
        <v>44881</v>
      </c>
      <c r="I82" s="32">
        <v>45057</v>
      </c>
      <c r="J82" s="31">
        <f t="shared" si="4"/>
        <v>177</v>
      </c>
      <c r="K82" s="21"/>
      <c r="L82" s="21"/>
      <c r="M82" s="22"/>
      <c r="N82" s="21"/>
      <c r="O82" s="21" t="s">
        <v>50</v>
      </c>
      <c r="P82" s="23"/>
      <c r="Q82" s="24"/>
      <c r="R82" s="25" t="str">
        <f t="shared" si="3"/>
        <v/>
      </c>
      <c r="S82" s="21"/>
      <c r="T82" s="22"/>
      <c r="U82" s="22"/>
      <c r="V82" s="21"/>
      <c r="W82" s="21" t="s">
        <v>51</v>
      </c>
      <c r="X82" s="21" t="s">
        <v>51</v>
      </c>
      <c r="Y82" s="21" t="s">
        <v>51</v>
      </c>
      <c r="Z82" s="21" t="s">
        <v>51</v>
      </c>
      <c r="AA82" s="10" t="s">
        <v>52</v>
      </c>
      <c r="AC82" s="10" t="s">
        <v>52</v>
      </c>
      <c r="AE82" s="10" t="s">
        <v>52</v>
      </c>
      <c r="AG82" s="21"/>
      <c r="AH82" s="22"/>
      <c r="AI82" s="22"/>
      <c r="AJ82" s="22"/>
      <c r="AK82" s="22"/>
      <c r="AL82" s="22"/>
      <c r="AM82" s="22"/>
      <c r="AN82" s="24"/>
      <c r="AO82" s="22"/>
      <c r="AP82" s="24"/>
      <c r="AQ82" s="22"/>
      <c r="AR82" s="24"/>
      <c r="AS82" s="24"/>
      <c r="AT82" s="27"/>
      <c r="AV82" s="28"/>
      <c r="AW82" s="28"/>
    </row>
    <row r="83" spans="1:49">
      <c r="A83" s="17" t="s">
        <v>46</v>
      </c>
      <c r="B83" s="4" t="s">
        <v>159</v>
      </c>
      <c r="C83" s="4">
        <v>71</v>
      </c>
      <c r="D83" s="4" t="s">
        <v>48</v>
      </c>
      <c r="E83" s="30"/>
      <c r="F83" s="4" t="s">
        <v>56</v>
      </c>
      <c r="G83" s="19" t="s">
        <v>57</v>
      </c>
      <c r="H83" s="19">
        <v>44885</v>
      </c>
      <c r="I83" s="32">
        <v>45808</v>
      </c>
      <c r="J83" s="31">
        <f t="shared" si="4"/>
        <v>924</v>
      </c>
      <c r="K83" s="21"/>
      <c r="L83" s="21"/>
      <c r="M83" s="22"/>
      <c r="N83" s="21"/>
      <c r="O83" s="21" t="s">
        <v>51</v>
      </c>
      <c r="P83" s="23"/>
      <c r="Q83" s="24"/>
      <c r="R83" s="25" t="str">
        <f t="shared" si="3"/>
        <v/>
      </c>
      <c r="S83" s="21"/>
      <c r="T83" s="22"/>
      <c r="U83" s="22"/>
      <c r="V83" s="21"/>
      <c r="W83" s="21" t="s">
        <v>51</v>
      </c>
      <c r="X83" s="21"/>
      <c r="Y83" s="21"/>
      <c r="Z83" s="21"/>
      <c r="AA83" s="10" t="s">
        <v>108</v>
      </c>
      <c r="AB83" s="10" t="s">
        <v>123</v>
      </c>
      <c r="AG83" s="21"/>
      <c r="AH83" s="22"/>
      <c r="AI83" s="22"/>
      <c r="AJ83" s="22"/>
      <c r="AK83" s="22"/>
      <c r="AL83" s="22"/>
      <c r="AM83" s="22"/>
      <c r="AN83" s="24"/>
      <c r="AO83" s="22"/>
      <c r="AP83" s="24"/>
      <c r="AQ83" s="22"/>
      <c r="AR83" s="24"/>
      <c r="AS83" s="24"/>
      <c r="AT83" s="27"/>
      <c r="AV83" s="28"/>
      <c r="AW83" s="28"/>
    </row>
    <row r="84" spans="1:49">
      <c r="A84" s="17" t="s">
        <v>46</v>
      </c>
      <c r="B84" s="4" t="s">
        <v>160</v>
      </c>
      <c r="C84" s="4">
        <v>42</v>
      </c>
      <c r="D84" s="4" t="s">
        <v>48</v>
      </c>
      <c r="E84" s="30"/>
      <c r="F84" s="4" t="s">
        <v>49</v>
      </c>
      <c r="G84" s="19">
        <v>45057.6203009259</v>
      </c>
      <c r="H84" s="19">
        <v>44887</v>
      </c>
      <c r="I84" s="32">
        <v>45078</v>
      </c>
      <c r="J84" s="31">
        <f t="shared" si="4"/>
        <v>192</v>
      </c>
      <c r="K84" s="21"/>
      <c r="L84" s="21"/>
      <c r="M84" s="22"/>
      <c r="N84" s="21"/>
      <c r="O84" s="21" t="s">
        <v>50</v>
      </c>
      <c r="P84" s="23"/>
      <c r="Q84" s="24"/>
      <c r="R84" s="25" t="str">
        <f t="shared" si="3"/>
        <v/>
      </c>
      <c r="S84" s="21"/>
      <c r="T84" s="22"/>
      <c r="U84" s="22"/>
      <c r="V84" s="21"/>
      <c r="W84" s="21" t="s">
        <v>50</v>
      </c>
      <c r="X84" s="21" t="s">
        <v>51</v>
      </c>
      <c r="Y84" s="21"/>
      <c r="Z84" s="21"/>
      <c r="AA84" s="10" t="s">
        <v>52</v>
      </c>
      <c r="AC84" s="10" t="s">
        <v>108</v>
      </c>
      <c r="AD84" s="10" t="s">
        <v>123</v>
      </c>
      <c r="AG84" s="21"/>
      <c r="AH84" s="22"/>
      <c r="AI84" s="22"/>
      <c r="AJ84" s="22"/>
      <c r="AK84" s="22"/>
      <c r="AL84" s="22"/>
      <c r="AM84" s="22"/>
      <c r="AN84" s="24"/>
      <c r="AO84" s="22"/>
      <c r="AP84" s="24"/>
      <c r="AQ84" s="22"/>
      <c r="AR84" s="24"/>
      <c r="AS84" s="24"/>
      <c r="AT84" s="27"/>
      <c r="AV84" s="28"/>
      <c r="AW84" s="28"/>
    </row>
    <row r="85" spans="1:49">
      <c r="A85" s="17" t="s">
        <v>46</v>
      </c>
      <c r="B85" s="4" t="s">
        <v>161</v>
      </c>
      <c r="C85" s="4">
        <v>40</v>
      </c>
      <c r="D85" s="4" t="s">
        <v>54</v>
      </c>
      <c r="E85" s="30"/>
      <c r="F85" s="4" t="s">
        <v>49</v>
      </c>
      <c r="G85" s="19">
        <v>45057.6209722222</v>
      </c>
      <c r="H85" s="19">
        <v>44882</v>
      </c>
      <c r="I85" s="32">
        <v>45071</v>
      </c>
      <c r="J85" s="31">
        <f t="shared" si="4"/>
        <v>190</v>
      </c>
      <c r="K85" s="21"/>
      <c r="L85" s="21"/>
      <c r="M85" s="22"/>
      <c r="N85" s="21"/>
      <c r="O85" s="21" t="s">
        <v>162</v>
      </c>
      <c r="P85" s="23"/>
      <c r="Q85" s="24"/>
      <c r="R85" s="25" t="str">
        <f t="shared" si="3"/>
        <v/>
      </c>
      <c r="S85" s="21"/>
      <c r="T85" s="22"/>
      <c r="U85" s="22"/>
      <c r="V85" s="21"/>
      <c r="W85" s="21" t="s">
        <v>50</v>
      </c>
      <c r="X85" s="21" t="s">
        <v>50</v>
      </c>
      <c r="Y85" s="21" t="s">
        <v>51</v>
      </c>
      <c r="Z85" s="21" t="s">
        <v>140</v>
      </c>
      <c r="AA85" s="10" t="s">
        <v>52</v>
      </c>
      <c r="AC85" s="10" t="s">
        <v>52</v>
      </c>
      <c r="AG85" s="21"/>
      <c r="AH85" s="22"/>
      <c r="AI85" s="22"/>
      <c r="AJ85" s="22"/>
      <c r="AK85" s="22"/>
      <c r="AL85" s="22"/>
      <c r="AM85" s="22"/>
      <c r="AN85" s="24"/>
      <c r="AO85" s="22"/>
      <c r="AP85" s="24"/>
      <c r="AQ85" s="22"/>
      <c r="AR85" s="24"/>
      <c r="AS85" s="24"/>
      <c r="AT85" s="27"/>
      <c r="AV85" s="28"/>
      <c r="AW85" s="28"/>
    </row>
    <row r="86" spans="1:49">
      <c r="A86" s="17" t="s">
        <v>46</v>
      </c>
      <c r="B86" s="4" t="s">
        <v>163</v>
      </c>
      <c r="C86" s="4">
        <v>49</v>
      </c>
      <c r="D86" s="4" t="s">
        <v>48</v>
      </c>
      <c r="E86" s="30"/>
      <c r="F86" s="4" t="s">
        <v>56</v>
      </c>
      <c r="G86" s="19" t="s">
        <v>57</v>
      </c>
      <c r="H86" s="19">
        <v>44895</v>
      </c>
      <c r="I86" s="32"/>
      <c r="J86" s="31" t="str">
        <f t="shared" si="4"/>
        <v/>
      </c>
      <c r="K86" s="21"/>
      <c r="L86" s="21"/>
      <c r="M86" s="22"/>
      <c r="N86" s="21"/>
      <c r="O86" s="21" t="s">
        <v>50</v>
      </c>
      <c r="P86" s="23"/>
      <c r="Q86" s="24"/>
      <c r="R86" s="25" t="str">
        <f t="shared" si="3"/>
        <v/>
      </c>
      <c r="S86" s="21"/>
      <c r="T86" s="22"/>
      <c r="U86" s="22"/>
      <c r="V86" s="21"/>
      <c r="W86" s="21" t="s">
        <v>51</v>
      </c>
      <c r="X86" s="21"/>
      <c r="Y86" s="21"/>
      <c r="Z86" s="21"/>
      <c r="AA86" s="10" t="s">
        <v>108</v>
      </c>
      <c r="AB86" s="10" t="s">
        <v>123</v>
      </c>
      <c r="AG86" s="21"/>
      <c r="AH86" s="22"/>
      <c r="AI86" s="22"/>
      <c r="AJ86" s="22"/>
      <c r="AK86" s="22"/>
      <c r="AL86" s="22"/>
      <c r="AM86" s="22"/>
      <c r="AN86" s="24"/>
      <c r="AO86" s="22"/>
      <c r="AP86" s="24"/>
      <c r="AQ86" s="22"/>
      <c r="AR86" s="24"/>
      <c r="AS86" s="24"/>
      <c r="AT86" s="27"/>
      <c r="AV86" s="28"/>
      <c r="AW86" s="28"/>
    </row>
    <row r="87" spans="1:49">
      <c r="A87" s="17" t="s">
        <v>46</v>
      </c>
      <c r="B87" s="4" t="s">
        <v>164</v>
      </c>
      <c r="C87" s="4">
        <v>34</v>
      </c>
      <c r="D87" s="4" t="s">
        <v>48</v>
      </c>
      <c r="E87" s="30"/>
      <c r="F87" s="4" t="s">
        <v>49</v>
      </c>
      <c r="G87" s="19">
        <v>45079.648275463</v>
      </c>
      <c r="H87" s="19">
        <v>44903</v>
      </c>
      <c r="I87" s="32"/>
      <c r="J87" s="31" t="str">
        <f t="shared" si="4"/>
        <v/>
      </c>
      <c r="K87" s="21"/>
      <c r="L87" s="21"/>
      <c r="M87" s="22"/>
      <c r="N87" s="21"/>
      <c r="O87" s="21" t="s">
        <v>51</v>
      </c>
      <c r="P87" s="23"/>
      <c r="Q87" s="24"/>
      <c r="R87" s="25" t="str">
        <f t="shared" si="3"/>
        <v/>
      </c>
      <c r="S87" s="21"/>
      <c r="T87" s="22"/>
      <c r="U87" s="22"/>
      <c r="V87" s="21"/>
      <c r="W87" s="21" t="s">
        <v>51</v>
      </c>
      <c r="X87" s="21" t="s">
        <v>51</v>
      </c>
      <c r="Y87" s="21" t="s">
        <v>51</v>
      </c>
      <c r="Z87" s="21" t="s">
        <v>140</v>
      </c>
      <c r="AA87" s="10" t="s">
        <v>52</v>
      </c>
      <c r="AC87" s="10" t="s">
        <v>52</v>
      </c>
      <c r="AE87" s="10" t="s">
        <v>52</v>
      </c>
      <c r="AG87" s="21"/>
      <c r="AH87" s="22"/>
      <c r="AI87" s="22"/>
      <c r="AJ87" s="22"/>
      <c r="AK87" s="22"/>
      <c r="AL87" s="22"/>
      <c r="AM87" s="22"/>
      <c r="AN87" s="24"/>
      <c r="AO87" s="22"/>
      <c r="AP87" s="24"/>
      <c r="AQ87" s="22"/>
      <c r="AR87" s="24"/>
      <c r="AS87" s="24"/>
      <c r="AT87" s="27"/>
      <c r="AV87" s="28"/>
      <c r="AW87" s="28"/>
    </row>
    <row r="88" spans="1:49">
      <c r="A88" s="17" t="s">
        <v>46</v>
      </c>
      <c r="B88" s="4" t="s">
        <v>165</v>
      </c>
      <c r="C88" s="4">
        <v>35</v>
      </c>
      <c r="D88" s="4" t="s">
        <v>54</v>
      </c>
      <c r="E88" s="30">
        <v>44379</v>
      </c>
      <c r="F88" s="4" t="s">
        <v>49</v>
      </c>
      <c r="G88" s="19">
        <v>44556</v>
      </c>
      <c r="H88" s="19">
        <v>44466</v>
      </c>
      <c r="I88" s="30">
        <v>44635</v>
      </c>
      <c r="J88" s="31">
        <f t="shared" ref="J88:J123" si="5">IF(AND(H88&lt;&gt;"",I88&lt;&gt;""),I88-H88+1,"")</f>
        <v>170</v>
      </c>
      <c r="K88" s="21"/>
      <c r="L88" s="21"/>
      <c r="M88" s="22"/>
      <c r="N88" s="21"/>
      <c r="O88" s="21" t="s">
        <v>166</v>
      </c>
      <c r="P88" s="23"/>
      <c r="Q88" s="24"/>
      <c r="R88" s="25" t="str">
        <f t="shared" ref="R88:R123" si="6">IF(AND(P88&lt;&gt;"",Q88&lt;&gt;""),P88/(Q88/100)^2,"")</f>
        <v/>
      </c>
      <c r="S88" s="21"/>
      <c r="T88" s="22"/>
      <c r="U88" s="22"/>
      <c r="V88" s="21"/>
      <c r="W88" s="21" t="s">
        <v>166</v>
      </c>
      <c r="X88" s="21" t="s">
        <v>166</v>
      </c>
      <c r="Y88" s="21" t="s">
        <v>166</v>
      </c>
      <c r="Z88" s="21" t="s">
        <v>166</v>
      </c>
      <c r="AA88" s="10" t="s">
        <v>52</v>
      </c>
      <c r="AC88" s="10" t="s">
        <v>52</v>
      </c>
      <c r="AE88" s="10" t="s">
        <v>52</v>
      </c>
      <c r="AG88" s="21"/>
      <c r="AH88" s="22"/>
      <c r="AI88" s="22"/>
      <c r="AJ88" s="22"/>
      <c r="AK88" s="22"/>
      <c r="AL88" s="22"/>
      <c r="AM88" s="22" t="s">
        <v>167</v>
      </c>
      <c r="AN88" s="24"/>
      <c r="AO88" s="22"/>
      <c r="AP88" s="24"/>
      <c r="AQ88" s="22"/>
      <c r="AR88" s="24"/>
      <c r="AS88" s="24"/>
      <c r="AT88" s="27"/>
      <c r="AV88" s="28"/>
      <c r="AW88" s="28"/>
    </row>
    <row r="89" spans="1:49">
      <c r="A89" s="17" t="s">
        <v>46</v>
      </c>
      <c r="B89" s="4" t="s">
        <v>168</v>
      </c>
      <c r="C89" s="4">
        <v>33</v>
      </c>
      <c r="D89" s="4" t="s">
        <v>54</v>
      </c>
      <c r="E89" s="30">
        <v>44383</v>
      </c>
      <c r="F89" s="4" t="s">
        <v>64</v>
      </c>
      <c r="G89" s="19">
        <v>44572</v>
      </c>
      <c r="H89" s="19">
        <v>44383</v>
      </c>
      <c r="I89" s="32">
        <v>44578</v>
      </c>
      <c r="J89" s="31">
        <f t="shared" si="5"/>
        <v>196</v>
      </c>
      <c r="K89" s="21"/>
      <c r="L89" s="21"/>
      <c r="M89" s="22"/>
      <c r="N89" s="21"/>
      <c r="O89" s="21" t="s">
        <v>166</v>
      </c>
      <c r="P89" s="23"/>
      <c r="Q89" s="24"/>
      <c r="R89" s="25" t="str">
        <f t="shared" si="6"/>
        <v/>
      </c>
      <c r="S89" s="21"/>
      <c r="T89" s="22"/>
      <c r="U89" s="22"/>
      <c r="V89" s="21"/>
      <c r="W89" s="21" t="s">
        <v>166</v>
      </c>
      <c r="X89" s="21"/>
      <c r="Y89" s="21" t="s">
        <v>166</v>
      </c>
      <c r="Z89" s="21"/>
      <c r="AA89" s="10" t="s">
        <v>52</v>
      </c>
      <c r="AC89" s="10" t="s">
        <v>52</v>
      </c>
      <c r="AE89" s="10" t="s">
        <v>52</v>
      </c>
      <c r="AG89" s="21"/>
      <c r="AH89" s="22"/>
      <c r="AI89" s="22"/>
      <c r="AJ89" s="22"/>
      <c r="AK89" s="22"/>
      <c r="AL89" s="22"/>
      <c r="AM89" s="22" t="s">
        <v>169</v>
      </c>
      <c r="AN89" s="24"/>
      <c r="AO89" s="22"/>
      <c r="AP89" s="24"/>
      <c r="AQ89" s="22"/>
      <c r="AR89" s="24"/>
      <c r="AS89" s="24"/>
      <c r="AT89" s="27"/>
      <c r="AV89" s="28"/>
      <c r="AW89" s="28"/>
    </row>
    <row r="90" spans="1:49">
      <c r="A90" s="17" t="s">
        <v>46</v>
      </c>
      <c r="B90" s="4" t="s">
        <v>170</v>
      </c>
      <c r="C90" s="4">
        <v>28</v>
      </c>
      <c r="D90" s="4" t="s">
        <v>48</v>
      </c>
      <c r="E90" s="30">
        <v>44390</v>
      </c>
      <c r="F90" s="4" t="s">
        <v>82</v>
      </c>
      <c r="G90" s="19" t="s">
        <v>57</v>
      </c>
      <c r="H90" s="19">
        <v>44478</v>
      </c>
      <c r="I90" s="32">
        <v>44670</v>
      </c>
      <c r="J90" s="31">
        <f t="shared" si="5"/>
        <v>193</v>
      </c>
      <c r="K90" s="21"/>
      <c r="L90" s="21"/>
      <c r="M90" s="22"/>
      <c r="N90" s="21"/>
      <c r="O90" s="21"/>
      <c r="P90" s="23"/>
      <c r="Q90" s="24"/>
      <c r="R90" s="25" t="str">
        <f t="shared" si="6"/>
        <v/>
      </c>
      <c r="S90" s="21"/>
      <c r="T90" s="22"/>
      <c r="U90" s="22"/>
      <c r="V90" s="21"/>
      <c r="W90" s="21" t="s">
        <v>166</v>
      </c>
      <c r="X90" s="21" t="s">
        <v>166</v>
      </c>
      <c r="Y90" s="21" t="s">
        <v>166</v>
      </c>
      <c r="Z90" s="21" t="s">
        <v>166</v>
      </c>
      <c r="AA90" s="10" t="s">
        <v>52</v>
      </c>
      <c r="AC90" s="10" t="s">
        <v>52</v>
      </c>
      <c r="AE90" s="10" t="s">
        <v>52</v>
      </c>
      <c r="AG90" s="21"/>
      <c r="AH90" s="22"/>
      <c r="AI90" s="22"/>
      <c r="AJ90" s="22"/>
      <c r="AK90" s="22"/>
      <c r="AL90" s="22"/>
      <c r="AM90" s="22"/>
      <c r="AN90" s="24"/>
      <c r="AO90" s="22"/>
      <c r="AP90" s="24"/>
      <c r="AQ90" s="22"/>
      <c r="AR90" s="24"/>
      <c r="AS90" s="24"/>
      <c r="AT90" s="27"/>
      <c r="AV90" s="28"/>
      <c r="AW90" s="28"/>
    </row>
    <row r="91" spans="1:49">
      <c r="A91" s="17" t="s">
        <v>46</v>
      </c>
      <c r="B91" s="4" t="s">
        <v>171</v>
      </c>
      <c r="C91" s="4">
        <v>45</v>
      </c>
      <c r="D91" s="4" t="s">
        <v>54</v>
      </c>
      <c r="E91" s="30">
        <v>44390</v>
      </c>
      <c r="F91" s="4" t="s">
        <v>56</v>
      </c>
      <c r="G91" s="19" t="s">
        <v>57</v>
      </c>
      <c r="H91" s="19">
        <v>44484</v>
      </c>
      <c r="I91" s="32">
        <v>44570</v>
      </c>
      <c r="J91" s="31">
        <f t="shared" si="5"/>
        <v>87</v>
      </c>
      <c r="K91" s="21"/>
      <c r="L91" s="21"/>
      <c r="M91" s="22"/>
      <c r="N91" s="21"/>
      <c r="O91" s="21" t="s">
        <v>172</v>
      </c>
      <c r="P91" s="23"/>
      <c r="Q91" s="24"/>
      <c r="R91" s="25" t="str">
        <f t="shared" si="6"/>
        <v/>
      </c>
      <c r="S91" s="21"/>
      <c r="T91" s="22"/>
      <c r="U91" s="22"/>
      <c r="V91" s="21"/>
      <c r="W91" s="21" t="s">
        <v>166</v>
      </c>
      <c r="X91" s="21" t="s">
        <v>166</v>
      </c>
      <c r="Y91" s="21"/>
      <c r="Z91" s="21" t="s">
        <v>166</v>
      </c>
      <c r="AA91" s="10" t="s">
        <v>52</v>
      </c>
      <c r="AC91" s="10" t="s">
        <v>52</v>
      </c>
      <c r="AE91" s="10" t="s">
        <v>52</v>
      </c>
      <c r="AG91" s="21"/>
      <c r="AH91" s="22"/>
      <c r="AI91" s="22"/>
      <c r="AJ91" s="22"/>
      <c r="AK91" s="22"/>
      <c r="AL91" s="22"/>
      <c r="AM91" s="22"/>
      <c r="AN91" s="24"/>
      <c r="AO91" s="22"/>
      <c r="AP91" s="24"/>
      <c r="AQ91" s="22"/>
      <c r="AR91" s="24"/>
      <c r="AS91" s="24"/>
      <c r="AT91" s="27"/>
      <c r="AV91" s="28"/>
      <c r="AW91" s="28"/>
    </row>
    <row r="92" spans="1:49">
      <c r="A92" s="17" t="s">
        <v>46</v>
      </c>
      <c r="B92" s="4" t="s">
        <v>173</v>
      </c>
      <c r="C92" s="4">
        <v>35</v>
      </c>
      <c r="D92" s="4" t="s">
        <v>48</v>
      </c>
      <c r="E92" s="30">
        <v>44397</v>
      </c>
      <c r="F92" s="4" t="s">
        <v>49</v>
      </c>
      <c r="G92" s="19">
        <v>44572</v>
      </c>
      <c r="H92" s="19">
        <v>44383</v>
      </c>
      <c r="I92" s="32">
        <v>44670</v>
      </c>
      <c r="J92" s="31">
        <f t="shared" si="5"/>
        <v>288</v>
      </c>
      <c r="K92" s="21"/>
      <c r="L92" s="21"/>
      <c r="M92" s="22"/>
      <c r="N92" s="21"/>
      <c r="O92" s="21" t="s">
        <v>172</v>
      </c>
      <c r="P92" s="23"/>
      <c r="Q92" s="24"/>
      <c r="R92" s="25" t="str">
        <f t="shared" si="6"/>
        <v/>
      </c>
      <c r="S92" s="21"/>
      <c r="T92" s="22"/>
      <c r="U92" s="22"/>
      <c r="V92" s="21"/>
      <c r="W92" s="21" t="s">
        <v>166</v>
      </c>
      <c r="X92" s="21" t="s">
        <v>166</v>
      </c>
      <c r="Y92" s="21" t="s">
        <v>166</v>
      </c>
      <c r="Z92" s="21" t="s">
        <v>166</v>
      </c>
      <c r="AA92" s="10" t="s">
        <v>52</v>
      </c>
      <c r="AC92" s="10" t="s">
        <v>52</v>
      </c>
      <c r="AE92" s="10" t="s">
        <v>52</v>
      </c>
      <c r="AG92" s="21"/>
      <c r="AH92" s="22"/>
      <c r="AI92" s="22"/>
      <c r="AJ92" s="22"/>
      <c r="AK92" s="22"/>
      <c r="AL92" s="22"/>
      <c r="AM92" s="22"/>
      <c r="AN92" s="24"/>
      <c r="AO92" s="22"/>
      <c r="AP92" s="24"/>
      <c r="AQ92" s="22"/>
      <c r="AR92" s="24"/>
      <c r="AS92" s="24"/>
      <c r="AT92" s="27"/>
      <c r="AV92" s="28"/>
      <c r="AW92" s="28"/>
    </row>
    <row r="93" spans="1:49">
      <c r="A93" s="17" t="s">
        <v>46</v>
      </c>
      <c r="B93" s="4" t="s">
        <v>174</v>
      </c>
      <c r="C93" s="4"/>
      <c r="D93" s="4" t="s">
        <v>54</v>
      </c>
      <c r="E93" s="30">
        <v>44397</v>
      </c>
      <c r="F93" s="4" t="s">
        <v>56</v>
      </c>
      <c r="G93" s="19" t="s">
        <v>57</v>
      </c>
      <c r="H93" s="19">
        <v>44391</v>
      </c>
      <c r="I93" s="32"/>
      <c r="J93" s="31" t="str">
        <f t="shared" si="5"/>
        <v/>
      </c>
      <c r="K93" s="21"/>
      <c r="L93" s="21"/>
      <c r="M93" s="22"/>
      <c r="N93" s="21"/>
      <c r="O93" s="21" t="s">
        <v>172</v>
      </c>
      <c r="P93" s="23"/>
      <c r="Q93" s="24"/>
      <c r="R93" s="25" t="str">
        <f t="shared" si="6"/>
        <v/>
      </c>
      <c r="S93" s="21"/>
      <c r="T93" s="22"/>
      <c r="U93" s="22"/>
      <c r="V93" s="21"/>
      <c r="W93" s="21" t="s">
        <v>166</v>
      </c>
      <c r="X93" s="21"/>
      <c r="Y93" s="21"/>
      <c r="Z93" s="21"/>
      <c r="AA93" s="10" t="s">
        <v>108</v>
      </c>
      <c r="AB93" s="10" t="s">
        <v>123</v>
      </c>
      <c r="AC93" s="10" t="s">
        <v>108</v>
      </c>
      <c r="AD93" s="10" t="s">
        <v>123</v>
      </c>
      <c r="AE93" s="10" t="s">
        <v>108</v>
      </c>
      <c r="AF93" s="10" t="s">
        <v>123</v>
      </c>
      <c r="AG93" s="21"/>
      <c r="AH93" s="22"/>
      <c r="AI93" s="22"/>
      <c r="AJ93" s="22"/>
      <c r="AK93" s="22"/>
      <c r="AL93" s="22"/>
      <c r="AM93" s="22"/>
      <c r="AN93" s="24"/>
      <c r="AO93" s="22"/>
      <c r="AP93" s="24"/>
      <c r="AQ93" s="22"/>
      <c r="AR93" s="24"/>
      <c r="AS93" s="24"/>
      <c r="AT93" s="27"/>
      <c r="AV93" s="28"/>
      <c r="AW93" s="28"/>
    </row>
    <row r="94" spans="1:49">
      <c r="A94" s="17" t="s">
        <v>46</v>
      </c>
      <c r="B94" s="4" t="s">
        <v>175</v>
      </c>
      <c r="C94" s="4">
        <v>42</v>
      </c>
      <c r="D94" s="4" t="s">
        <v>48</v>
      </c>
      <c r="E94" s="30">
        <v>44400</v>
      </c>
      <c r="F94" s="4" t="s">
        <v>49</v>
      </c>
      <c r="G94" s="19" t="s">
        <v>57</v>
      </c>
      <c r="H94" s="19">
        <v>44400</v>
      </c>
      <c r="I94" s="32">
        <v>44747</v>
      </c>
      <c r="J94" s="31">
        <f t="shared" si="5"/>
        <v>348</v>
      </c>
      <c r="K94" s="21"/>
      <c r="L94" s="21"/>
      <c r="M94" s="22"/>
      <c r="N94" s="21"/>
      <c r="O94" s="21" t="s">
        <v>166</v>
      </c>
      <c r="P94" s="23"/>
      <c r="Q94" s="24"/>
      <c r="R94" s="25" t="str">
        <f t="shared" si="6"/>
        <v/>
      </c>
      <c r="S94" s="21"/>
      <c r="T94" s="22"/>
      <c r="U94" s="22"/>
      <c r="V94" s="21"/>
      <c r="W94" s="21"/>
      <c r="X94" s="21" t="s">
        <v>166</v>
      </c>
      <c r="Y94" s="21"/>
      <c r="Z94" s="21"/>
      <c r="AA94" s="10" t="s">
        <v>52</v>
      </c>
      <c r="AC94" s="10" t="s">
        <v>52</v>
      </c>
      <c r="AE94" s="10" t="s">
        <v>52</v>
      </c>
      <c r="AG94" s="21"/>
      <c r="AH94" s="22"/>
      <c r="AI94" s="22"/>
      <c r="AJ94" s="22"/>
      <c r="AK94" s="22"/>
      <c r="AL94" s="22"/>
      <c r="AM94" s="22"/>
      <c r="AN94" s="24"/>
      <c r="AO94" s="22"/>
      <c r="AP94" s="24"/>
      <c r="AQ94" s="22"/>
      <c r="AR94" s="24"/>
      <c r="AS94" s="24"/>
      <c r="AT94" s="27"/>
      <c r="AV94" s="28"/>
      <c r="AW94" s="28"/>
    </row>
    <row r="95" spans="1:49">
      <c r="A95" s="17" t="s">
        <v>46</v>
      </c>
      <c r="B95" s="4" t="s">
        <v>176</v>
      </c>
      <c r="C95" s="4"/>
      <c r="D95" s="4" t="s">
        <v>48</v>
      </c>
      <c r="E95" s="30">
        <v>44404</v>
      </c>
      <c r="F95" s="4" t="s">
        <v>64</v>
      </c>
      <c r="G95" s="19" t="s">
        <v>57</v>
      </c>
      <c r="H95" s="19">
        <v>44502</v>
      </c>
      <c r="I95" s="32"/>
      <c r="J95" s="31" t="str">
        <f t="shared" si="5"/>
        <v/>
      </c>
      <c r="K95" s="21"/>
      <c r="L95" s="21"/>
      <c r="M95" s="22"/>
      <c r="N95" s="21"/>
      <c r="O95" s="21" t="s">
        <v>172</v>
      </c>
      <c r="P95" s="23"/>
      <c r="Q95" s="24"/>
      <c r="R95" s="25" t="str">
        <f t="shared" si="6"/>
        <v/>
      </c>
      <c r="S95" s="21"/>
      <c r="T95" s="22"/>
      <c r="U95" s="22"/>
      <c r="V95" s="21"/>
      <c r="W95" s="21"/>
      <c r="X95" s="21"/>
      <c r="Y95" s="21"/>
      <c r="Z95" s="21"/>
      <c r="AG95" s="21" t="s">
        <v>177</v>
      </c>
      <c r="AH95" s="22"/>
      <c r="AI95" s="22"/>
      <c r="AJ95" s="22"/>
      <c r="AK95" s="22"/>
      <c r="AL95" s="22"/>
      <c r="AM95" s="22"/>
      <c r="AN95" s="24"/>
      <c r="AO95" s="22"/>
      <c r="AP95" s="24"/>
      <c r="AQ95" s="22"/>
      <c r="AR95" s="24"/>
      <c r="AS95" s="24"/>
      <c r="AT95" s="27"/>
      <c r="AV95" s="28"/>
      <c r="AW95" s="28"/>
    </row>
    <row r="96" spans="1:49">
      <c r="A96" s="17" t="s">
        <v>46</v>
      </c>
      <c r="B96" s="4" t="s">
        <v>178</v>
      </c>
      <c r="C96" s="21">
        <v>53</v>
      </c>
      <c r="D96" s="21" t="s">
        <v>54</v>
      </c>
      <c r="E96" s="30">
        <v>44404</v>
      </c>
      <c r="F96" s="4" t="s">
        <v>56</v>
      </c>
      <c r="G96" s="19" t="s">
        <v>57</v>
      </c>
      <c r="H96" s="19">
        <v>44398</v>
      </c>
      <c r="I96" s="32">
        <v>44654</v>
      </c>
      <c r="J96" s="31">
        <f t="shared" si="5"/>
        <v>257</v>
      </c>
      <c r="K96" s="21"/>
      <c r="L96" s="21"/>
      <c r="M96" s="22"/>
      <c r="N96" s="21"/>
      <c r="O96" s="21" t="s">
        <v>172</v>
      </c>
      <c r="P96" s="23"/>
      <c r="Q96" s="24"/>
      <c r="R96" s="25" t="str">
        <f t="shared" si="6"/>
        <v/>
      </c>
      <c r="S96" s="21"/>
      <c r="T96" s="22"/>
      <c r="U96" s="22"/>
      <c r="V96" s="21"/>
      <c r="W96" s="21" t="s">
        <v>166</v>
      </c>
      <c r="X96" s="21" t="s">
        <v>166</v>
      </c>
      <c r="Y96" s="21" t="s">
        <v>166</v>
      </c>
      <c r="Z96" s="21" t="s">
        <v>166</v>
      </c>
      <c r="AA96" s="10" t="s">
        <v>52</v>
      </c>
      <c r="AC96" s="10" t="s">
        <v>52</v>
      </c>
      <c r="AE96" s="10" t="s">
        <v>52</v>
      </c>
      <c r="AG96" s="21"/>
      <c r="AH96" s="22"/>
      <c r="AI96" s="22"/>
      <c r="AJ96" s="22"/>
      <c r="AK96" s="22"/>
      <c r="AL96" s="22"/>
      <c r="AM96" s="22"/>
      <c r="AN96" s="24"/>
      <c r="AO96" s="22"/>
      <c r="AP96" s="24"/>
      <c r="AQ96" s="22"/>
      <c r="AR96" s="24"/>
      <c r="AS96" s="24"/>
      <c r="AT96" s="27"/>
      <c r="AV96" s="28"/>
      <c r="AW96" s="28"/>
    </row>
    <row r="97" spans="1:49">
      <c r="A97" s="17" t="s">
        <v>46</v>
      </c>
      <c r="B97" s="4" t="s">
        <v>179</v>
      </c>
      <c r="C97" s="4">
        <v>38</v>
      </c>
      <c r="D97" s="4" t="s">
        <v>54</v>
      </c>
      <c r="E97" s="30">
        <v>44405</v>
      </c>
      <c r="F97" s="4" t="s">
        <v>64</v>
      </c>
      <c r="G97" s="19">
        <v>44621</v>
      </c>
      <c r="H97" s="19">
        <v>44503</v>
      </c>
      <c r="I97" s="32">
        <v>44684</v>
      </c>
      <c r="J97" s="31">
        <f t="shared" si="5"/>
        <v>182</v>
      </c>
      <c r="K97" s="21"/>
      <c r="L97" s="21"/>
      <c r="M97" s="22"/>
      <c r="N97" s="21"/>
      <c r="O97" s="21" t="s">
        <v>172</v>
      </c>
      <c r="P97" s="23"/>
      <c r="Q97" s="24"/>
      <c r="R97" s="25" t="str">
        <f t="shared" si="6"/>
        <v/>
      </c>
      <c r="S97" s="21"/>
      <c r="T97" s="22"/>
      <c r="U97" s="22"/>
      <c r="V97" s="21"/>
      <c r="W97" s="21" t="s">
        <v>166</v>
      </c>
      <c r="X97" s="21" t="s">
        <v>166</v>
      </c>
      <c r="Y97" s="21"/>
      <c r="Z97" s="21" t="s">
        <v>166</v>
      </c>
      <c r="AA97" s="10" t="s">
        <v>52</v>
      </c>
      <c r="AC97" s="10" t="s">
        <v>52</v>
      </c>
      <c r="AE97" s="10" t="s">
        <v>52</v>
      </c>
      <c r="AG97" s="21"/>
      <c r="AH97" s="22"/>
      <c r="AI97" s="22"/>
      <c r="AJ97" s="22"/>
      <c r="AK97" s="22"/>
      <c r="AL97" s="22"/>
      <c r="AM97" s="22"/>
      <c r="AN97" s="24"/>
      <c r="AO97" s="22"/>
      <c r="AP97" s="24"/>
      <c r="AQ97" s="22"/>
      <c r="AR97" s="24"/>
      <c r="AS97" s="24"/>
      <c r="AT97" s="27"/>
      <c r="AV97" s="28"/>
      <c r="AW97" s="28"/>
    </row>
    <row r="98" spans="1:49">
      <c r="A98" s="17" t="s">
        <v>46</v>
      </c>
      <c r="B98" s="4" t="s">
        <v>180</v>
      </c>
      <c r="C98" s="4"/>
      <c r="D98" s="4" t="s">
        <v>48</v>
      </c>
      <c r="E98" s="30">
        <v>44406</v>
      </c>
      <c r="F98" s="4" t="s">
        <v>64</v>
      </c>
      <c r="G98" s="19" t="s">
        <v>57</v>
      </c>
      <c r="H98" s="19">
        <v>44515</v>
      </c>
      <c r="I98" s="32"/>
      <c r="J98" s="31" t="str">
        <f t="shared" si="5"/>
        <v/>
      </c>
      <c r="K98" s="21"/>
      <c r="L98" s="21"/>
      <c r="M98" s="22"/>
      <c r="N98" s="21"/>
      <c r="O98" s="21" t="s">
        <v>172</v>
      </c>
      <c r="P98" s="23"/>
      <c r="Q98" s="24"/>
      <c r="R98" s="25" t="str">
        <f t="shared" si="6"/>
        <v/>
      </c>
      <c r="S98" s="21"/>
      <c r="T98" s="22"/>
      <c r="U98" s="22"/>
      <c r="V98" s="21"/>
      <c r="W98" s="21"/>
      <c r="X98" s="21"/>
      <c r="Y98" s="21"/>
      <c r="Z98" s="21"/>
      <c r="AG98" s="21"/>
      <c r="AH98" s="22"/>
      <c r="AI98" s="22"/>
      <c r="AJ98" s="22"/>
      <c r="AK98" s="22"/>
      <c r="AL98" s="22"/>
      <c r="AM98" s="22"/>
      <c r="AN98" s="24"/>
      <c r="AO98" s="22"/>
      <c r="AP98" s="24"/>
      <c r="AQ98" s="22"/>
      <c r="AR98" s="24"/>
      <c r="AS98" s="24"/>
      <c r="AT98" s="27"/>
      <c r="AV98" s="28"/>
      <c r="AW98" s="28"/>
    </row>
    <row r="99" spans="1:49">
      <c r="A99" s="17" t="s">
        <v>46</v>
      </c>
      <c r="B99" s="4" t="s">
        <v>181</v>
      </c>
      <c r="C99" s="4">
        <v>53</v>
      </c>
      <c r="D99" s="4" t="s">
        <v>48</v>
      </c>
      <c r="E99" s="30">
        <v>44407</v>
      </c>
      <c r="F99" s="4" t="s">
        <v>82</v>
      </c>
      <c r="G99" s="19">
        <v>44563</v>
      </c>
      <c r="H99" s="19">
        <v>44519</v>
      </c>
      <c r="I99" s="32"/>
      <c r="J99" s="31"/>
      <c r="K99" s="21"/>
      <c r="L99" s="21"/>
      <c r="M99" s="22"/>
      <c r="N99" s="21"/>
      <c r="O99" s="21" t="s">
        <v>172</v>
      </c>
      <c r="P99" s="23"/>
      <c r="Q99" s="24"/>
      <c r="R99" s="25" t="str">
        <f t="shared" si="6"/>
        <v/>
      </c>
      <c r="S99" s="21"/>
      <c r="T99" s="22"/>
      <c r="U99" s="22"/>
      <c r="V99" s="21"/>
      <c r="W99" s="21" t="s">
        <v>166</v>
      </c>
      <c r="X99" s="21"/>
      <c r="Y99" s="21"/>
      <c r="Z99" s="21"/>
      <c r="AA99" s="10" t="s">
        <v>108</v>
      </c>
      <c r="AB99" s="10" t="s">
        <v>123</v>
      </c>
      <c r="AC99" s="10" t="s">
        <v>108</v>
      </c>
      <c r="AD99" s="10" t="s">
        <v>123</v>
      </c>
      <c r="AE99" s="10" t="s">
        <v>108</v>
      </c>
      <c r="AF99" s="10" t="s">
        <v>123</v>
      </c>
      <c r="AG99" s="21"/>
      <c r="AH99" s="22"/>
      <c r="AI99" s="22"/>
      <c r="AJ99" s="22"/>
      <c r="AK99" s="22"/>
      <c r="AL99" s="22"/>
      <c r="AM99" s="22"/>
      <c r="AN99" s="24"/>
      <c r="AO99" s="22"/>
      <c r="AP99" s="24"/>
      <c r="AQ99" s="22"/>
      <c r="AR99" s="24"/>
      <c r="AS99" s="24"/>
      <c r="AT99" s="27"/>
      <c r="AV99" s="28"/>
      <c r="AW99" s="28"/>
    </row>
    <row r="100" spans="1:49">
      <c r="A100" s="17" t="s">
        <v>46</v>
      </c>
      <c r="B100" s="4" t="s">
        <v>182</v>
      </c>
      <c r="C100" s="4"/>
      <c r="D100" s="4" t="s">
        <v>48</v>
      </c>
      <c r="E100" s="30">
        <v>44411</v>
      </c>
      <c r="F100" s="4" t="s">
        <v>49</v>
      </c>
      <c r="G100" s="19">
        <v>44587</v>
      </c>
      <c r="H100" s="19">
        <v>44411</v>
      </c>
      <c r="I100" s="32">
        <v>44621</v>
      </c>
      <c r="J100" s="31">
        <f t="shared" si="5"/>
        <v>211</v>
      </c>
      <c r="K100" s="21"/>
      <c r="L100" s="21"/>
      <c r="M100" s="22"/>
      <c r="N100" s="21"/>
      <c r="O100" s="21" t="s">
        <v>172</v>
      </c>
      <c r="P100" s="23"/>
      <c r="Q100" s="24"/>
      <c r="R100" s="25" t="str">
        <f t="shared" si="6"/>
        <v/>
      </c>
      <c r="S100" s="21"/>
      <c r="T100" s="22"/>
      <c r="U100" s="22"/>
      <c r="V100" s="21"/>
      <c r="W100" s="21" t="s">
        <v>166</v>
      </c>
      <c r="X100" s="21" t="s">
        <v>166</v>
      </c>
      <c r="Y100" s="21"/>
      <c r="Z100" s="21"/>
      <c r="AA100" s="10" t="s">
        <v>108</v>
      </c>
      <c r="AB100" s="10" t="s">
        <v>123</v>
      </c>
      <c r="AC100" s="10" t="s">
        <v>108</v>
      </c>
      <c r="AD100" s="10" t="s">
        <v>123</v>
      </c>
      <c r="AE100" s="10" t="s">
        <v>108</v>
      </c>
      <c r="AF100" s="10" t="s">
        <v>123</v>
      </c>
      <c r="AG100" s="21"/>
      <c r="AH100" s="22"/>
      <c r="AI100" s="22"/>
      <c r="AJ100" s="22"/>
      <c r="AK100" s="22"/>
      <c r="AL100" s="22"/>
      <c r="AM100" s="22"/>
      <c r="AN100" s="24"/>
      <c r="AO100" s="22"/>
      <c r="AP100" s="24"/>
      <c r="AQ100" s="22"/>
      <c r="AR100" s="24"/>
      <c r="AS100" s="24"/>
      <c r="AT100" s="27"/>
      <c r="AV100" s="28"/>
      <c r="AW100" s="28"/>
    </row>
    <row r="101" spans="1:49">
      <c r="A101" s="17" t="s">
        <v>46</v>
      </c>
      <c r="B101" s="4" t="s">
        <v>183</v>
      </c>
      <c r="C101" s="4">
        <v>39</v>
      </c>
      <c r="D101" s="4" t="s">
        <v>54</v>
      </c>
      <c r="E101" s="30">
        <v>44414</v>
      </c>
      <c r="F101" s="4" t="s">
        <v>49</v>
      </c>
      <c r="G101" s="19" t="s">
        <v>57</v>
      </c>
      <c r="H101" s="19">
        <v>44414</v>
      </c>
      <c r="I101" s="32">
        <v>44676</v>
      </c>
      <c r="J101" s="31">
        <f t="shared" si="5"/>
        <v>263</v>
      </c>
      <c r="K101" s="21"/>
      <c r="L101" s="21"/>
      <c r="M101" s="22"/>
      <c r="N101" s="21"/>
      <c r="O101" s="21" t="s">
        <v>172</v>
      </c>
      <c r="P101" s="23"/>
      <c r="Q101" s="24"/>
      <c r="R101" s="25" t="str">
        <f t="shared" si="6"/>
        <v/>
      </c>
      <c r="S101" s="21"/>
      <c r="T101" s="22"/>
      <c r="U101" s="22"/>
      <c r="V101" s="21"/>
      <c r="W101" s="21" t="s">
        <v>166</v>
      </c>
      <c r="X101" s="21" t="s">
        <v>166</v>
      </c>
      <c r="Y101" s="21" t="s">
        <v>166</v>
      </c>
      <c r="Z101" s="21" t="s">
        <v>166</v>
      </c>
      <c r="AA101" s="10" t="s">
        <v>52</v>
      </c>
      <c r="AC101" s="10" t="s">
        <v>52</v>
      </c>
      <c r="AE101" s="10" t="s">
        <v>52</v>
      </c>
      <c r="AG101" s="21"/>
      <c r="AH101" s="22"/>
      <c r="AI101" s="22"/>
      <c r="AJ101" s="22"/>
      <c r="AK101" s="22"/>
      <c r="AL101" s="22"/>
      <c r="AM101" s="22"/>
      <c r="AN101" s="24"/>
      <c r="AO101" s="22"/>
      <c r="AP101" s="24"/>
      <c r="AQ101" s="22"/>
      <c r="AR101" s="24"/>
      <c r="AS101" s="24"/>
      <c r="AT101" s="27"/>
      <c r="AV101" s="28"/>
      <c r="AW101" s="28"/>
    </row>
    <row r="102" spans="1:49">
      <c r="A102" s="17" t="s">
        <v>46</v>
      </c>
      <c r="B102" s="4" t="s">
        <v>184</v>
      </c>
      <c r="C102" s="4">
        <v>37</v>
      </c>
      <c r="D102" s="4" t="s">
        <v>48</v>
      </c>
      <c r="E102" s="30">
        <v>44420</v>
      </c>
      <c r="F102" s="4" t="s">
        <v>56</v>
      </c>
      <c r="G102" s="19" t="s">
        <v>57</v>
      </c>
      <c r="H102" s="19">
        <v>44420</v>
      </c>
      <c r="I102" s="32">
        <v>44788</v>
      </c>
      <c r="J102" s="31">
        <f t="shared" si="5"/>
        <v>369</v>
      </c>
      <c r="K102" s="21"/>
      <c r="L102" s="21"/>
      <c r="M102" s="22"/>
      <c r="N102" s="21"/>
      <c r="O102" s="21" t="s">
        <v>172</v>
      </c>
      <c r="P102" s="23"/>
      <c r="Q102" s="24"/>
      <c r="R102" s="25" t="str">
        <f t="shared" si="6"/>
        <v/>
      </c>
      <c r="S102" s="21"/>
      <c r="T102" s="22"/>
      <c r="U102" s="22"/>
      <c r="V102" s="21"/>
      <c r="W102" s="21" t="s">
        <v>172</v>
      </c>
      <c r="X102" s="21" t="s">
        <v>166</v>
      </c>
      <c r="Y102" s="21" t="s">
        <v>166</v>
      </c>
      <c r="Z102" s="21" t="s">
        <v>166</v>
      </c>
      <c r="AA102" s="10" t="s">
        <v>52</v>
      </c>
      <c r="AC102" s="10" t="s">
        <v>52</v>
      </c>
      <c r="AE102" s="10" t="s">
        <v>52</v>
      </c>
      <c r="AG102" s="21"/>
      <c r="AH102" s="22"/>
      <c r="AI102" s="22"/>
      <c r="AJ102" s="22"/>
      <c r="AK102" s="22"/>
      <c r="AL102" s="22"/>
      <c r="AM102" s="22"/>
      <c r="AN102" s="24"/>
      <c r="AO102" s="22"/>
      <c r="AP102" s="24"/>
      <c r="AQ102" s="22"/>
      <c r="AR102" s="24"/>
      <c r="AS102" s="24"/>
      <c r="AT102" s="27"/>
      <c r="AV102" s="28"/>
      <c r="AW102" s="28"/>
    </row>
    <row r="103" spans="1:49">
      <c r="A103" s="17" t="s">
        <v>46</v>
      </c>
      <c r="B103" s="4" t="s">
        <v>185</v>
      </c>
      <c r="C103" s="4">
        <v>69</v>
      </c>
      <c r="D103" s="4" t="s">
        <v>48</v>
      </c>
      <c r="E103" s="30">
        <v>44431</v>
      </c>
      <c r="F103" s="4" t="s">
        <v>56</v>
      </c>
      <c r="G103" s="19" t="s">
        <v>57</v>
      </c>
      <c r="H103" s="19">
        <v>44431</v>
      </c>
      <c r="I103" s="32">
        <v>44789</v>
      </c>
      <c r="J103" s="31">
        <f t="shared" si="5"/>
        <v>359</v>
      </c>
      <c r="K103" s="21"/>
      <c r="L103" s="21"/>
      <c r="M103" s="22"/>
      <c r="N103" s="21"/>
      <c r="O103" s="21" t="s">
        <v>172</v>
      </c>
      <c r="P103" s="23"/>
      <c r="Q103" s="24"/>
      <c r="R103" s="25" t="str">
        <f t="shared" si="6"/>
        <v/>
      </c>
      <c r="S103" s="21"/>
      <c r="T103" s="22"/>
      <c r="U103" s="22"/>
      <c r="V103" s="21"/>
      <c r="W103" s="21" t="s">
        <v>166</v>
      </c>
      <c r="X103" s="21" t="s">
        <v>166</v>
      </c>
      <c r="Y103" s="21" t="s">
        <v>166</v>
      </c>
      <c r="Z103" s="21"/>
      <c r="AA103" s="10" t="s">
        <v>52</v>
      </c>
      <c r="AC103" s="10" t="s">
        <v>108</v>
      </c>
      <c r="AD103" s="10" t="s">
        <v>123</v>
      </c>
      <c r="AE103" s="10" t="s">
        <v>108</v>
      </c>
      <c r="AF103" s="10" t="s">
        <v>123</v>
      </c>
      <c r="AG103" s="21"/>
      <c r="AH103" s="22"/>
      <c r="AI103" s="22"/>
      <c r="AJ103" s="22"/>
      <c r="AK103" s="22"/>
      <c r="AL103" s="22"/>
      <c r="AM103" s="22"/>
      <c r="AN103" s="24"/>
      <c r="AO103" s="22"/>
      <c r="AP103" s="24"/>
      <c r="AQ103" s="22"/>
      <c r="AR103" s="24"/>
      <c r="AS103" s="24"/>
      <c r="AT103" s="27"/>
      <c r="AV103" s="28"/>
      <c r="AW103" s="28"/>
    </row>
    <row r="104" spans="1:49">
      <c r="A104" s="17" t="s">
        <v>46</v>
      </c>
      <c r="B104" s="4" t="s">
        <v>186</v>
      </c>
      <c r="C104" s="4">
        <v>44</v>
      </c>
      <c r="D104" s="4" t="s">
        <v>48</v>
      </c>
      <c r="E104" s="30">
        <v>44439</v>
      </c>
      <c r="F104" s="4" t="s">
        <v>49</v>
      </c>
      <c r="G104" s="19" t="s">
        <v>57</v>
      </c>
      <c r="H104" s="19">
        <v>44439</v>
      </c>
      <c r="I104" s="32">
        <v>44722</v>
      </c>
      <c r="J104" s="31">
        <f t="shared" si="5"/>
        <v>284</v>
      </c>
      <c r="K104" s="21"/>
      <c r="L104" s="21"/>
      <c r="M104" s="22"/>
      <c r="N104" s="21"/>
      <c r="O104" s="21" t="s">
        <v>172</v>
      </c>
      <c r="P104" s="23"/>
      <c r="Q104" s="24"/>
      <c r="R104" s="25" t="str">
        <f t="shared" si="6"/>
        <v/>
      </c>
      <c r="S104" s="21"/>
      <c r="T104" s="22"/>
      <c r="U104" s="22"/>
      <c r="V104" s="21"/>
      <c r="W104" s="21" t="s">
        <v>166</v>
      </c>
      <c r="X104" s="21" t="s">
        <v>166</v>
      </c>
      <c r="Y104" s="21" t="s">
        <v>166</v>
      </c>
      <c r="Z104" s="21" t="s">
        <v>166</v>
      </c>
      <c r="AA104" s="10" t="s">
        <v>52</v>
      </c>
      <c r="AC104" s="10" t="s">
        <v>52</v>
      </c>
      <c r="AE104" s="10" t="s">
        <v>52</v>
      </c>
      <c r="AG104" s="21"/>
      <c r="AH104" s="22"/>
      <c r="AI104" s="22"/>
      <c r="AJ104" s="22"/>
      <c r="AK104" s="22"/>
      <c r="AL104" s="22"/>
      <c r="AM104" s="22"/>
      <c r="AN104" s="24"/>
      <c r="AO104" s="22"/>
      <c r="AP104" s="24"/>
      <c r="AQ104" s="22"/>
      <c r="AR104" s="24"/>
      <c r="AS104" s="24"/>
      <c r="AT104" s="27"/>
      <c r="AV104" s="28"/>
      <c r="AW104" s="28"/>
    </row>
    <row r="105" spans="1:49">
      <c r="A105" s="17" t="s">
        <v>46</v>
      </c>
      <c r="B105" s="4" t="s">
        <v>187</v>
      </c>
      <c r="C105" s="4">
        <v>33</v>
      </c>
      <c r="D105" s="4" t="s">
        <v>48</v>
      </c>
      <c r="E105" s="30">
        <v>44443</v>
      </c>
      <c r="F105" s="4" t="s">
        <v>49</v>
      </c>
      <c r="G105" s="19">
        <v>44609</v>
      </c>
      <c r="H105" s="19">
        <v>44416</v>
      </c>
      <c r="I105" s="32">
        <v>44717</v>
      </c>
      <c r="J105" s="31">
        <f t="shared" si="5"/>
        <v>302</v>
      </c>
      <c r="K105" s="21"/>
      <c r="L105" s="21"/>
      <c r="M105" s="22"/>
      <c r="N105" s="21"/>
      <c r="O105" s="21" t="s">
        <v>172</v>
      </c>
      <c r="P105" s="23"/>
      <c r="Q105" s="24"/>
      <c r="R105" s="25" t="str">
        <f t="shared" si="6"/>
        <v/>
      </c>
      <c r="S105" s="21"/>
      <c r="T105" s="22"/>
      <c r="U105" s="22"/>
      <c r="V105" s="21"/>
      <c r="W105" s="21"/>
      <c r="X105" s="21" t="s">
        <v>166</v>
      </c>
      <c r="Y105" s="21" t="s">
        <v>166</v>
      </c>
      <c r="Z105" s="21" t="s">
        <v>166</v>
      </c>
      <c r="AA105" s="10" t="s">
        <v>52</v>
      </c>
      <c r="AC105" s="10" t="s">
        <v>52</v>
      </c>
      <c r="AE105" s="10" t="s">
        <v>52</v>
      </c>
      <c r="AG105" s="21"/>
      <c r="AH105" s="22"/>
      <c r="AI105" s="22"/>
      <c r="AJ105" s="22"/>
      <c r="AK105" s="22"/>
      <c r="AL105" s="22"/>
      <c r="AM105" s="22"/>
      <c r="AN105" s="24"/>
      <c r="AO105" s="22"/>
      <c r="AP105" s="24"/>
      <c r="AQ105" s="22"/>
      <c r="AR105" s="24"/>
      <c r="AS105" s="24"/>
      <c r="AT105" s="27"/>
      <c r="AV105" s="28"/>
      <c r="AW105" s="28"/>
    </row>
    <row r="106" spans="1:49">
      <c r="A106" s="17" t="s">
        <v>46</v>
      </c>
      <c r="B106" s="4" t="s">
        <v>188</v>
      </c>
      <c r="C106" s="4">
        <v>26</v>
      </c>
      <c r="D106" s="4" t="s">
        <v>54</v>
      </c>
      <c r="E106" s="30">
        <v>44444</v>
      </c>
      <c r="F106" s="4" t="s">
        <v>56</v>
      </c>
      <c r="G106" s="19" t="s">
        <v>57</v>
      </c>
      <c r="H106" s="19">
        <v>44553</v>
      </c>
      <c r="I106" s="32">
        <v>44775</v>
      </c>
      <c r="J106" s="31">
        <f t="shared" si="5"/>
        <v>223</v>
      </c>
      <c r="K106" s="21"/>
      <c r="L106" s="21"/>
      <c r="M106" s="22"/>
      <c r="N106" s="21"/>
      <c r="O106" s="21" t="s">
        <v>172</v>
      </c>
      <c r="P106" s="23"/>
      <c r="Q106" s="24"/>
      <c r="R106" s="25" t="str">
        <f t="shared" si="6"/>
        <v/>
      </c>
      <c r="S106" s="21"/>
      <c r="T106" s="22"/>
      <c r="U106" s="22"/>
      <c r="V106" s="21"/>
      <c r="W106" s="21" t="s">
        <v>166</v>
      </c>
      <c r="X106" s="21" t="s">
        <v>189</v>
      </c>
      <c r="Y106" s="21" t="s">
        <v>166</v>
      </c>
      <c r="Z106" s="21" t="s">
        <v>166</v>
      </c>
      <c r="AA106" s="10" t="s">
        <v>52</v>
      </c>
      <c r="AC106" s="10" t="s">
        <v>52</v>
      </c>
      <c r="AE106" s="10" t="s">
        <v>52</v>
      </c>
      <c r="AG106" s="21"/>
      <c r="AH106" s="22"/>
      <c r="AI106" s="22"/>
      <c r="AJ106" s="22"/>
      <c r="AK106" s="22"/>
      <c r="AL106" s="22"/>
      <c r="AM106" s="22"/>
      <c r="AN106" s="24"/>
      <c r="AO106" s="22"/>
      <c r="AP106" s="24"/>
      <c r="AQ106" s="22"/>
      <c r="AR106" s="24"/>
      <c r="AS106" s="24"/>
      <c r="AT106" s="27"/>
      <c r="AV106" s="28"/>
      <c r="AW106" s="28"/>
    </row>
    <row r="107" spans="1:49">
      <c r="A107" s="17" t="s">
        <v>46</v>
      </c>
      <c r="B107" s="4" t="s">
        <v>190</v>
      </c>
      <c r="C107" s="4"/>
      <c r="D107" s="4" t="s">
        <v>48</v>
      </c>
      <c r="E107" s="30">
        <v>44445</v>
      </c>
      <c r="F107" s="4" t="s">
        <v>191</v>
      </c>
      <c r="G107" s="19">
        <v>44609</v>
      </c>
      <c r="H107" s="19">
        <v>44443</v>
      </c>
      <c r="I107" s="32"/>
      <c r="J107" s="31" t="str">
        <f t="shared" si="5"/>
        <v/>
      </c>
      <c r="K107" s="21"/>
      <c r="L107" s="21"/>
      <c r="M107" s="22"/>
      <c r="N107" s="21"/>
      <c r="O107" s="21" t="s">
        <v>172</v>
      </c>
      <c r="P107" s="23"/>
      <c r="Q107" s="24"/>
      <c r="R107" s="25" t="str">
        <f t="shared" si="6"/>
        <v/>
      </c>
      <c r="S107" s="21"/>
      <c r="T107" s="22"/>
      <c r="U107" s="22"/>
      <c r="V107" s="21"/>
      <c r="W107" s="21" t="s">
        <v>166</v>
      </c>
      <c r="X107" s="21"/>
      <c r="Y107" s="21"/>
      <c r="Z107" s="21"/>
      <c r="AA107" s="10" t="s">
        <v>108</v>
      </c>
      <c r="AB107" s="10" t="s">
        <v>123</v>
      </c>
      <c r="AC107" s="10" t="s">
        <v>108</v>
      </c>
      <c r="AD107" s="10" t="s">
        <v>123</v>
      </c>
      <c r="AE107" s="10" t="s">
        <v>108</v>
      </c>
      <c r="AF107" s="10" t="s">
        <v>123</v>
      </c>
      <c r="AG107" s="21"/>
      <c r="AH107" s="22"/>
      <c r="AI107" s="22"/>
      <c r="AJ107" s="22"/>
      <c r="AK107" s="22"/>
      <c r="AL107" s="22"/>
      <c r="AM107" s="22" t="s">
        <v>192</v>
      </c>
      <c r="AN107" s="24"/>
      <c r="AO107" s="22"/>
      <c r="AP107" s="24"/>
      <c r="AQ107" s="22"/>
      <c r="AR107" s="24"/>
      <c r="AS107" s="24"/>
      <c r="AT107" s="27"/>
      <c r="AV107" s="28"/>
      <c r="AW107" s="28"/>
    </row>
    <row r="108" spans="1:49">
      <c r="A108" s="17" t="s">
        <v>46</v>
      </c>
      <c r="B108" s="4" t="s">
        <v>193</v>
      </c>
      <c r="C108" s="4">
        <v>78</v>
      </c>
      <c r="D108" s="4" t="s">
        <v>48</v>
      </c>
      <c r="E108" s="30">
        <v>44449</v>
      </c>
      <c r="F108" s="4" t="s">
        <v>49</v>
      </c>
      <c r="G108" s="19">
        <v>44615</v>
      </c>
      <c r="H108" s="19">
        <v>44449</v>
      </c>
      <c r="I108" s="32">
        <v>44658</v>
      </c>
      <c r="J108" s="31">
        <f t="shared" si="5"/>
        <v>210</v>
      </c>
      <c r="K108" s="21"/>
      <c r="L108" s="21"/>
      <c r="M108" s="22"/>
      <c r="N108" s="21"/>
      <c r="O108" s="21"/>
      <c r="P108" s="23"/>
      <c r="Q108" s="24"/>
      <c r="R108" s="25" t="str">
        <f t="shared" si="6"/>
        <v/>
      </c>
      <c r="S108" s="21"/>
      <c r="T108" s="22"/>
      <c r="U108" s="22"/>
      <c r="V108" s="21"/>
      <c r="W108" s="21" t="s">
        <v>166</v>
      </c>
      <c r="X108" s="21" t="s">
        <v>166</v>
      </c>
      <c r="Y108" s="21" t="s">
        <v>166</v>
      </c>
      <c r="Z108" s="21"/>
      <c r="AA108" s="10" t="s">
        <v>52</v>
      </c>
      <c r="AC108" s="10" t="s">
        <v>52</v>
      </c>
      <c r="AE108" s="10" t="s">
        <v>52</v>
      </c>
      <c r="AG108" s="21"/>
      <c r="AH108" s="22"/>
      <c r="AI108" s="22"/>
      <c r="AJ108" s="22"/>
      <c r="AK108" s="22"/>
      <c r="AL108" s="22"/>
      <c r="AM108" s="22" t="s">
        <v>167</v>
      </c>
      <c r="AN108" s="24"/>
      <c r="AO108" s="22"/>
      <c r="AP108" s="24"/>
      <c r="AQ108" s="22"/>
      <c r="AR108" s="24"/>
      <c r="AS108" s="24"/>
      <c r="AT108" s="27"/>
      <c r="AV108" s="28"/>
      <c r="AW108" s="28"/>
    </row>
    <row r="109" spans="1:49">
      <c r="A109" s="17" t="s">
        <v>46</v>
      </c>
      <c r="B109" s="4" t="s">
        <v>194</v>
      </c>
      <c r="C109" s="4"/>
      <c r="D109" s="4" t="s">
        <v>48</v>
      </c>
      <c r="E109" s="30">
        <v>44449</v>
      </c>
      <c r="F109" s="4" t="s">
        <v>82</v>
      </c>
      <c r="G109" s="19" t="s">
        <v>57</v>
      </c>
      <c r="H109" s="19">
        <v>44565</v>
      </c>
      <c r="I109" s="32"/>
      <c r="J109" s="31" t="str">
        <f t="shared" si="5"/>
        <v/>
      </c>
      <c r="K109" s="21"/>
      <c r="L109" s="21"/>
      <c r="M109" s="22"/>
      <c r="N109" s="21"/>
      <c r="O109" s="21" t="s">
        <v>166</v>
      </c>
      <c r="P109" s="23"/>
      <c r="Q109" s="24"/>
      <c r="R109" s="25" t="str">
        <f t="shared" si="6"/>
        <v/>
      </c>
      <c r="S109" s="21"/>
      <c r="T109" s="22"/>
      <c r="U109" s="22"/>
      <c r="V109" s="21"/>
      <c r="W109" s="21"/>
      <c r="X109" s="21"/>
      <c r="Y109" s="21"/>
      <c r="Z109" s="21"/>
      <c r="AA109" s="10" t="s">
        <v>108</v>
      </c>
      <c r="AB109" s="10" t="s">
        <v>123</v>
      </c>
      <c r="AC109" s="10" t="s">
        <v>108</v>
      </c>
      <c r="AD109" s="10" t="s">
        <v>123</v>
      </c>
      <c r="AE109" s="10" t="s">
        <v>108</v>
      </c>
      <c r="AF109" s="10" t="s">
        <v>123</v>
      </c>
      <c r="AG109" s="21"/>
      <c r="AH109" s="22"/>
      <c r="AI109" s="22"/>
      <c r="AJ109" s="22"/>
      <c r="AK109" s="22"/>
      <c r="AL109" s="22"/>
      <c r="AM109" s="21" t="s">
        <v>195</v>
      </c>
      <c r="AN109" s="24"/>
      <c r="AO109" s="22"/>
      <c r="AP109" s="24"/>
      <c r="AQ109" s="22"/>
      <c r="AR109" s="24"/>
      <c r="AS109" s="24"/>
      <c r="AT109" s="27"/>
      <c r="AV109" s="28"/>
      <c r="AW109" s="28"/>
    </row>
    <row r="110" spans="1:49">
      <c r="A110" s="17" t="s">
        <v>46</v>
      </c>
      <c r="B110" s="4" t="s">
        <v>196</v>
      </c>
      <c r="C110" s="4">
        <v>40</v>
      </c>
      <c r="D110" s="4" t="s">
        <v>54</v>
      </c>
      <c r="E110" s="30">
        <v>44449</v>
      </c>
      <c r="F110" s="4" t="s">
        <v>64</v>
      </c>
      <c r="G110" s="19">
        <v>44608</v>
      </c>
      <c r="H110" s="19">
        <v>44449</v>
      </c>
      <c r="I110" s="32">
        <v>44705</v>
      </c>
      <c r="J110" s="31">
        <f t="shared" si="5"/>
        <v>257</v>
      </c>
      <c r="K110" s="21"/>
      <c r="L110" s="21"/>
      <c r="M110" s="22"/>
      <c r="N110" s="21"/>
      <c r="O110" s="21" t="s">
        <v>172</v>
      </c>
      <c r="P110" s="23"/>
      <c r="Q110" s="24"/>
      <c r="R110" s="25" t="str">
        <f t="shared" si="6"/>
        <v/>
      </c>
      <c r="S110" s="21"/>
      <c r="T110" s="22"/>
      <c r="U110" s="22"/>
      <c r="V110" s="21"/>
      <c r="W110" s="21" t="s">
        <v>172</v>
      </c>
      <c r="X110" s="21" t="s">
        <v>166</v>
      </c>
      <c r="Y110" s="21" t="s">
        <v>166</v>
      </c>
      <c r="Z110" s="21" t="s">
        <v>166</v>
      </c>
      <c r="AA110" s="10" t="s">
        <v>52</v>
      </c>
      <c r="AC110" s="10" t="s">
        <v>52</v>
      </c>
      <c r="AE110" s="10" t="s">
        <v>52</v>
      </c>
      <c r="AG110" s="21"/>
      <c r="AH110" s="22"/>
      <c r="AI110" s="22"/>
      <c r="AJ110" s="22"/>
      <c r="AK110" s="22"/>
      <c r="AL110" s="22"/>
      <c r="AM110" s="22"/>
      <c r="AN110" s="24"/>
      <c r="AO110" s="22"/>
      <c r="AP110" s="24"/>
      <c r="AQ110" s="22"/>
      <c r="AR110" s="24"/>
      <c r="AS110" s="24"/>
      <c r="AT110" s="27"/>
      <c r="AV110" s="28"/>
      <c r="AW110" s="28"/>
    </row>
    <row r="111" spans="1:49">
      <c r="A111" s="17" t="s">
        <v>46</v>
      </c>
      <c r="B111" s="4" t="s">
        <v>197</v>
      </c>
      <c r="C111" s="4">
        <v>54</v>
      </c>
      <c r="D111" s="4" t="s">
        <v>48</v>
      </c>
      <c r="E111" s="30">
        <v>44449</v>
      </c>
      <c r="F111" s="4" t="s">
        <v>64</v>
      </c>
      <c r="G111" s="19">
        <v>44609</v>
      </c>
      <c r="H111" s="19">
        <v>44441</v>
      </c>
      <c r="I111" s="32">
        <v>44612</v>
      </c>
      <c r="J111" s="31">
        <f t="shared" si="5"/>
        <v>172</v>
      </c>
      <c r="K111" s="21"/>
      <c r="L111" s="21"/>
      <c r="M111" s="22"/>
      <c r="N111" s="21"/>
      <c r="O111" s="21" t="s">
        <v>172</v>
      </c>
      <c r="P111" s="23"/>
      <c r="Q111" s="24"/>
      <c r="R111" s="25" t="str">
        <f t="shared" si="6"/>
        <v/>
      </c>
      <c r="S111" s="21"/>
      <c r="T111" s="22"/>
      <c r="U111" s="22"/>
      <c r="V111" s="21"/>
      <c r="W111" s="21" t="s">
        <v>166</v>
      </c>
      <c r="X111" s="21" t="s">
        <v>166</v>
      </c>
      <c r="Y111" s="21" t="s">
        <v>166</v>
      </c>
      <c r="Z111" s="21" t="s">
        <v>166</v>
      </c>
      <c r="AA111" s="10" t="s">
        <v>52</v>
      </c>
      <c r="AC111" s="10" t="s">
        <v>52</v>
      </c>
      <c r="AE111" s="10" t="s">
        <v>52</v>
      </c>
      <c r="AG111" s="21"/>
      <c r="AH111" s="22"/>
      <c r="AI111" s="22"/>
      <c r="AJ111" s="22"/>
      <c r="AK111" s="22"/>
      <c r="AL111" s="22"/>
      <c r="AM111" s="22"/>
      <c r="AN111" s="24"/>
      <c r="AO111" s="22"/>
      <c r="AP111" s="24"/>
      <c r="AQ111" s="22"/>
      <c r="AR111" s="24"/>
      <c r="AS111" s="24"/>
      <c r="AT111" s="27"/>
      <c r="AV111" s="28"/>
      <c r="AW111" s="28"/>
    </row>
    <row r="112" spans="1:49">
      <c r="A112" s="17" t="s">
        <v>46</v>
      </c>
      <c r="B112" s="4" t="s">
        <v>198</v>
      </c>
      <c r="C112" s="4">
        <v>64</v>
      </c>
      <c r="D112" s="4" t="s">
        <v>54</v>
      </c>
      <c r="E112" s="30">
        <v>44450</v>
      </c>
      <c r="F112" s="4" t="s">
        <v>49</v>
      </c>
      <c r="G112" s="19">
        <v>44609</v>
      </c>
      <c r="H112" s="19">
        <v>44454</v>
      </c>
      <c r="I112" s="32">
        <v>44632</v>
      </c>
      <c r="J112" s="31">
        <f t="shared" si="5"/>
        <v>179</v>
      </c>
      <c r="K112" s="21"/>
      <c r="L112" s="21"/>
      <c r="M112" s="22"/>
      <c r="N112" s="21"/>
      <c r="O112" s="21" t="s">
        <v>166</v>
      </c>
      <c r="P112" s="23"/>
      <c r="Q112" s="24"/>
      <c r="R112" s="25" t="str">
        <f t="shared" si="6"/>
        <v/>
      </c>
      <c r="S112" s="21"/>
      <c r="T112" s="22"/>
      <c r="U112" s="22"/>
      <c r="V112" s="21"/>
      <c r="W112" s="21"/>
      <c r="X112" s="21" t="s">
        <v>166</v>
      </c>
      <c r="Y112" s="21"/>
      <c r="Z112" s="21" t="s">
        <v>166</v>
      </c>
      <c r="AA112" s="10" t="s">
        <v>52</v>
      </c>
      <c r="AC112" s="10" t="s">
        <v>52</v>
      </c>
      <c r="AE112" s="10" t="s">
        <v>52</v>
      </c>
      <c r="AG112" s="21"/>
      <c r="AH112" s="22"/>
      <c r="AI112" s="22"/>
      <c r="AJ112" s="22"/>
      <c r="AK112" s="22"/>
      <c r="AL112" s="22"/>
      <c r="AM112" s="22"/>
      <c r="AN112" s="24"/>
      <c r="AO112" s="22"/>
      <c r="AP112" s="24"/>
      <c r="AQ112" s="22"/>
      <c r="AR112" s="24"/>
      <c r="AS112" s="24"/>
      <c r="AT112" s="27"/>
      <c r="AV112" s="28"/>
      <c r="AW112" s="28"/>
    </row>
    <row r="113" spans="1:49">
      <c r="A113" s="17" t="s">
        <v>46</v>
      </c>
      <c r="B113" s="4" t="s">
        <v>199</v>
      </c>
      <c r="C113" s="4">
        <v>22</v>
      </c>
      <c r="D113" s="4" t="s">
        <v>54</v>
      </c>
      <c r="E113" s="30">
        <v>44460</v>
      </c>
      <c r="F113" s="4" t="s">
        <v>56</v>
      </c>
      <c r="G113" s="19" t="s">
        <v>57</v>
      </c>
      <c r="H113" s="19">
        <v>44586</v>
      </c>
      <c r="I113" s="32">
        <v>44612</v>
      </c>
      <c r="J113" s="31">
        <f t="shared" si="5"/>
        <v>27</v>
      </c>
      <c r="K113" s="21"/>
      <c r="L113" s="21"/>
      <c r="M113" s="22"/>
      <c r="N113" s="21"/>
      <c r="O113" s="21" t="s">
        <v>172</v>
      </c>
      <c r="P113" s="23"/>
      <c r="Q113" s="24"/>
      <c r="R113" s="25" t="str">
        <f t="shared" si="6"/>
        <v/>
      </c>
      <c r="S113" s="21"/>
      <c r="T113" s="22"/>
      <c r="U113" s="22"/>
      <c r="V113" s="21"/>
      <c r="W113" s="21" t="s">
        <v>166</v>
      </c>
      <c r="X113" s="21" t="s">
        <v>166</v>
      </c>
      <c r="Y113" s="21" t="s">
        <v>166</v>
      </c>
      <c r="Z113" s="21"/>
      <c r="AA113" s="10" t="s">
        <v>52</v>
      </c>
      <c r="AC113" s="10" t="s">
        <v>52</v>
      </c>
      <c r="AE113" s="10" t="s">
        <v>52</v>
      </c>
      <c r="AG113" s="21"/>
      <c r="AH113" s="22"/>
      <c r="AI113" s="22"/>
      <c r="AJ113" s="22"/>
      <c r="AK113" s="22"/>
      <c r="AL113" s="22"/>
      <c r="AM113" s="22"/>
      <c r="AN113" s="24"/>
      <c r="AO113" s="22"/>
      <c r="AP113" s="24"/>
      <c r="AQ113" s="22"/>
      <c r="AR113" s="24"/>
      <c r="AS113" s="24"/>
      <c r="AT113" s="27"/>
      <c r="AV113" s="28"/>
      <c r="AW113" s="28"/>
    </row>
    <row r="114" spans="1:49">
      <c r="A114" s="17" t="s">
        <v>46</v>
      </c>
      <c r="B114" s="4" t="s">
        <v>200</v>
      </c>
      <c r="C114" s="4">
        <v>45</v>
      </c>
      <c r="D114" s="4" t="s">
        <v>54</v>
      </c>
      <c r="E114" s="30">
        <v>44463</v>
      </c>
      <c r="F114" s="4" t="s">
        <v>49</v>
      </c>
      <c r="G114" s="19" t="s">
        <v>57</v>
      </c>
      <c r="H114" s="19">
        <v>44463</v>
      </c>
      <c r="I114" s="32">
        <v>44713</v>
      </c>
      <c r="J114" s="31">
        <f t="shared" si="5"/>
        <v>251</v>
      </c>
      <c r="K114" s="21"/>
      <c r="L114" s="21"/>
      <c r="M114" s="22"/>
      <c r="N114" s="21"/>
      <c r="O114" s="21" t="s">
        <v>172</v>
      </c>
      <c r="P114" s="23"/>
      <c r="Q114" s="24"/>
      <c r="R114" s="25" t="str">
        <f t="shared" si="6"/>
        <v/>
      </c>
      <c r="S114" s="21"/>
      <c r="T114" s="22"/>
      <c r="U114" s="22"/>
      <c r="V114" s="21"/>
      <c r="W114" s="21" t="s">
        <v>166</v>
      </c>
      <c r="X114" s="21" t="s">
        <v>166</v>
      </c>
      <c r="Y114" s="21" t="s">
        <v>166</v>
      </c>
      <c r="Z114" s="21" t="s">
        <v>166</v>
      </c>
      <c r="AA114" s="10" t="s">
        <v>52</v>
      </c>
      <c r="AC114" s="10" t="s">
        <v>52</v>
      </c>
      <c r="AE114" s="10" t="s">
        <v>52</v>
      </c>
      <c r="AG114" s="21"/>
      <c r="AH114" s="22"/>
      <c r="AI114" s="22"/>
      <c r="AJ114" s="22"/>
      <c r="AK114" s="22"/>
      <c r="AL114" s="22"/>
      <c r="AM114" s="22"/>
      <c r="AN114" s="24"/>
      <c r="AO114" s="22"/>
      <c r="AP114" s="24"/>
      <c r="AQ114" s="22"/>
      <c r="AR114" s="24"/>
      <c r="AS114" s="24"/>
      <c r="AT114" s="27"/>
      <c r="AV114" s="28"/>
      <c r="AW114" s="28"/>
    </row>
    <row r="115" spans="1:49">
      <c r="A115" s="17" t="s">
        <v>46</v>
      </c>
      <c r="B115" s="4" t="s">
        <v>201</v>
      </c>
      <c r="C115" s="4">
        <v>55</v>
      </c>
      <c r="D115" s="4" t="s">
        <v>48</v>
      </c>
      <c r="E115" s="30">
        <v>44466</v>
      </c>
      <c r="F115" s="4" t="s">
        <v>49</v>
      </c>
      <c r="G115" s="19">
        <v>44609</v>
      </c>
      <c r="H115" s="19">
        <v>44467</v>
      </c>
      <c r="I115" s="32">
        <v>44740</v>
      </c>
      <c r="J115" s="31">
        <f t="shared" si="5"/>
        <v>274</v>
      </c>
      <c r="K115" s="21"/>
      <c r="L115" s="21"/>
      <c r="M115" s="22"/>
      <c r="N115" s="21"/>
      <c r="O115" s="21" t="s">
        <v>166</v>
      </c>
      <c r="P115" s="23"/>
      <c r="Q115" s="24"/>
      <c r="R115" s="25" t="str">
        <f t="shared" si="6"/>
        <v/>
      </c>
      <c r="S115" s="21"/>
      <c r="T115" s="22"/>
      <c r="U115" s="22"/>
      <c r="V115" s="21"/>
      <c r="W115" s="21" t="s">
        <v>166</v>
      </c>
      <c r="X115" s="21" t="s">
        <v>166</v>
      </c>
      <c r="Y115" s="21" t="s">
        <v>166</v>
      </c>
      <c r="Z115" s="21" t="s">
        <v>166</v>
      </c>
      <c r="AA115" s="10" t="s">
        <v>52</v>
      </c>
      <c r="AC115" s="10" t="s">
        <v>52</v>
      </c>
      <c r="AE115" s="10" t="s">
        <v>52</v>
      </c>
      <c r="AG115" s="21"/>
      <c r="AH115" s="22"/>
      <c r="AI115" s="22"/>
      <c r="AJ115" s="22"/>
      <c r="AK115" s="22"/>
      <c r="AL115" s="22"/>
      <c r="AM115" s="22"/>
      <c r="AN115" s="24"/>
      <c r="AO115" s="22"/>
      <c r="AP115" s="24"/>
      <c r="AQ115" s="22"/>
      <c r="AR115" s="24"/>
      <c r="AS115" s="24"/>
      <c r="AT115" s="27"/>
      <c r="AV115" s="28"/>
      <c r="AW115" s="28"/>
    </row>
    <row r="116" spans="1:49">
      <c r="A116" s="17" t="s">
        <v>46</v>
      </c>
      <c r="B116" s="4" t="s">
        <v>202</v>
      </c>
      <c r="C116" s="4">
        <v>70</v>
      </c>
      <c r="D116" s="4" t="s">
        <v>48</v>
      </c>
      <c r="E116" s="30">
        <v>44469</v>
      </c>
      <c r="F116" s="4" t="s">
        <v>64</v>
      </c>
      <c r="G116" s="19" t="s">
        <v>57</v>
      </c>
      <c r="H116" s="19">
        <v>44469</v>
      </c>
      <c r="I116" s="32">
        <v>44656</v>
      </c>
      <c r="J116" s="31">
        <f t="shared" si="5"/>
        <v>188</v>
      </c>
      <c r="K116" s="21"/>
      <c r="L116" s="21"/>
      <c r="M116" s="22"/>
      <c r="N116" s="21"/>
      <c r="O116" s="21" t="s">
        <v>172</v>
      </c>
      <c r="P116" s="23"/>
      <c r="Q116" s="24"/>
      <c r="R116" s="25" t="str">
        <f t="shared" si="6"/>
        <v/>
      </c>
      <c r="S116" s="21"/>
      <c r="T116" s="22"/>
      <c r="U116" s="22"/>
      <c r="V116" s="21"/>
      <c r="W116" s="21" t="s">
        <v>166</v>
      </c>
      <c r="X116" s="21" t="s">
        <v>166</v>
      </c>
      <c r="Y116" s="21" t="s">
        <v>166</v>
      </c>
      <c r="Z116" s="21" t="s">
        <v>166</v>
      </c>
      <c r="AA116" s="10" t="s">
        <v>52</v>
      </c>
      <c r="AC116" s="10" t="s">
        <v>52</v>
      </c>
      <c r="AE116" s="10" t="s">
        <v>52</v>
      </c>
      <c r="AG116" s="21"/>
      <c r="AH116" s="22"/>
      <c r="AI116" s="22"/>
      <c r="AJ116" s="22"/>
      <c r="AK116" s="22"/>
      <c r="AL116" s="22"/>
      <c r="AM116" s="22"/>
      <c r="AN116" s="24"/>
      <c r="AO116" s="22"/>
      <c r="AP116" s="24"/>
      <c r="AQ116" s="22"/>
      <c r="AR116" s="24"/>
      <c r="AS116" s="24"/>
      <c r="AT116" s="27"/>
      <c r="AV116" s="28"/>
      <c r="AW116" s="28"/>
    </row>
    <row r="117" spans="1:49">
      <c r="A117" s="17" t="s">
        <v>46</v>
      </c>
      <c r="B117" s="4" t="s">
        <v>203</v>
      </c>
      <c r="C117" s="4">
        <v>28</v>
      </c>
      <c r="D117" s="4" t="s">
        <v>48</v>
      </c>
      <c r="E117" s="30">
        <v>44478</v>
      </c>
      <c r="F117" s="4" t="s">
        <v>64</v>
      </c>
      <c r="G117" s="19" t="s">
        <v>57</v>
      </c>
      <c r="H117" s="19">
        <v>44478</v>
      </c>
      <c r="I117" s="32">
        <v>44656</v>
      </c>
      <c r="J117" s="31">
        <f t="shared" si="5"/>
        <v>179</v>
      </c>
      <c r="K117" s="21"/>
      <c r="L117" s="21"/>
      <c r="M117" s="22"/>
      <c r="N117" s="21"/>
      <c r="O117" s="21" t="s">
        <v>172</v>
      </c>
      <c r="P117" s="23"/>
      <c r="Q117" s="24"/>
      <c r="R117" s="25" t="str">
        <f t="shared" si="6"/>
        <v/>
      </c>
      <c r="S117" s="21"/>
      <c r="T117" s="22"/>
      <c r="U117" s="22"/>
      <c r="V117" s="21"/>
      <c r="W117" s="21"/>
      <c r="X117" s="21" t="s">
        <v>166</v>
      </c>
      <c r="Y117" s="21" t="s">
        <v>166</v>
      </c>
      <c r="Z117" s="21" t="s">
        <v>166</v>
      </c>
      <c r="AA117" s="10" t="s">
        <v>52</v>
      </c>
      <c r="AC117" s="10" t="s">
        <v>52</v>
      </c>
      <c r="AE117" s="10" t="s">
        <v>52</v>
      </c>
      <c r="AG117" s="21"/>
      <c r="AH117" s="22"/>
      <c r="AI117" s="22"/>
      <c r="AJ117" s="22"/>
      <c r="AK117" s="22"/>
      <c r="AL117" s="22"/>
      <c r="AM117" s="22"/>
      <c r="AN117" s="24"/>
      <c r="AO117" s="22"/>
      <c r="AP117" s="24"/>
      <c r="AQ117" s="22"/>
      <c r="AR117" s="24"/>
      <c r="AS117" s="24"/>
      <c r="AT117" s="27"/>
      <c r="AV117" s="28"/>
      <c r="AW117" s="28"/>
    </row>
    <row r="118" spans="1:49">
      <c r="A118" s="17" t="s">
        <v>46</v>
      </c>
      <c r="B118" s="4" t="s">
        <v>204</v>
      </c>
      <c r="C118" s="21">
        <v>27</v>
      </c>
      <c r="D118" s="21" t="s">
        <v>48</v>
      </c>
      <c r="E118" s="30">
        <v>44484</v>
      </c>
      <c r="F118" s="4" t="s">
        <v>49</v>
      </c>
      <c r="G118" s="19" t="s">
        <v>57</v>
      </c>
      <c r="H118" s="19">
        <v>44481</v>
      </c>
      <c r="I118" s="32">
        <v>44680</v>
      </c>
      <c r="J118" s="31">
        <f t="shared" si="5"/>
        <v>200</v>
      </c>
      <c r="K118" s="21"/>
      <c r="L118" s="21"/>
      <c r="M118" s="22"/>
      <c r="N118" s="21"/>
      <c r="O118" s="21" t="s">
        <v>172</v>
      </c>
      <c r="P118" s="23"/>
      <c r="Q118" s="24"/>
      <c r="R118" s="25" t="str">
        <f t="shared" si="6"/>
        <v/>
      </c>
      <c r="S118" s="21"/>
      <c r="T118" s="22"/>
      <c r="U118" s="22"/>
      <c r="V118" s="21"/>
      <c r="W118" s="21" t="s">
        <v>166</v>
      </c>
      <c r="X118" s="21"/>
      <c r="Y118" s="21"/>
      <c r="Z118" s="21"/>
      <c r="AA118" s="10" t="s">
        <v>108</v>
      </c>
      <c r="AB118" s="10" t="s">
        <v>123</v>
      </c>
      <c r="AC118" s="10" t="s">
        <v>108</v>
      </c>
      <c r="AD118" s="10" t="s">
        <v>123</v>
      </c>
      <c r="AE118" s="10" t="s">
        <v>108</v>
      </c>
      <c r="AF118" s="10" t="s">
        <v>123</v>
      </c>
      <c r="AG118" s="21"/>
      <c r="AH118" s="22"/>
      <c r="AI118" s="22"/>
      <c r="AJ118" s="22"/>
      <c r="AK118" s="22"/>
      <c r="AL118" s="22"/>
      <c r="AM118" s="22"/>
      <c r="AN118" s="24"/>
      <c r="AO118" s="22"/>
      <c r="AP118" s="24"/>
      <c r="AQ118" s="22"/>
      <c r="AR118" s="24"/>
      <c r="AS118" s="24"/>
      <c r="AT118" s="27"/>
      <c r="AV118" s="28"/>
      <c r="AW118" s="28"/>
    </row>
    <row r="119" spans="1:49">
      <c r="A119" s="17" t="s">
        <v>46</v>
      </c>
      <c r="B119" s="4" t="s">
        <v>205</v>
      </c>
      <c r="C119" s="4">
        <v>60</v>
      </c>
      <c r="D119" s="4" t="s">
        <v>48</v>
      </c>
      <c r="E119" s="30">
        <v>44496</v>
      </c>
      <c r="F119" s="4" t="s">
        <v>49</v>
      </c>
      <c r="G119" s="19">
        <v>44664</v>
      </c>
      <c r="H119" s="19">
        <v>44484</v>
      </c>
      <c r="I119" s="32">
        <v>44770</v>
      </c>
      <c r="J119" s="31">
        <f t="shared" si="5"/>
        <v>287</v>
      </c>
      <c r="K119" s="21"/>
      <c r="L119" s="21"/>
      <c r="M119" s="22"/>
      <c r="N119" s="21"/>
      <c r="O119" s="21" t="s">
        <v>172</v>
      </c>
      <c r="P119" s="23"/>
      <c r="Q119" s="24"/>
      <c r="R119" s="25" t="str">
        <f t="shared" si="6"/>
        <v/>
      </c>
      <c r="S119" s="21"/>
      <c r="T119" s="22"/>
      <c r="U119" s="22"/>
      <c r="V119" s="21"/>
      <c r="W119" s="21" t="s">
        <v>166</v>
      </c>
      <c r="X119" s="21" t="s">
        <v>166</v>
      </c>
      <c r="Y119" s="21" t="s">
        <v>166</v>
      </c>
      <c r="Z119" s="21" t="s">
        <v>166</v>
      </c>
      <c r="AA119" s="10" t="s">
        <v>52</v>
      </c>
      <c r="AC119" s="10" t="s">
        <v>52</v>
      </c>
      <c r="AE119" s="10" t="s">
        <v>52</v>
      </c>
      <c r="AG119" s="21"/>
      <c r="AH119" s="22"/>
      <c r="AI119" s="22"/>
      <c r="AJ119" s="22"/>
      <c r="AK119" s="22"/>
      <c r="AL119" s="22"/>
      <c r="AM119" s="22"/>
      <c r="AN119" s="24"/>
      <c r="AO119" s="22"/>
      <c r="AP119" s="24"/>
      <c r="AQ119" s="22"/>
      <c r="AR119" s="24"/>
      <c r="AS119" s="24"/>
      <c r="AT119" s="27"/>
      <c r="AV119" s="28"/>
      <c r="AW119" s="28"/>
    </row>
    <row r="120" spans="1:49">
      <c r="A120" s="17" t="s">
        <v>46</v>
      </c>
      <c r="B120" s="4" t="s">
        <v>206</v>
      </c>
      <c r="C120" s="4">
        <v>41</v>
      </c>
      <c r="D120" s="4" t="s">
        <v>48</v>
      </c>
      <c r="E120" s="30">
        <v>44496</v>
      </c>
      <c r="F120" s="4" t="s">
        <v>82</v>
      </c>
      <c r="G120" s="19">
        <v>44678</v>
      </c>
      <c r="H120" s="19">
        <v>44496</v>
      </c>
      <c r="I120" s="32">
        <v>44765</v>
      </c>
      <c r="J120" s="31">
        <f t="shared" si="5"/>
        <v>270</v>
      </c>
      <c r="K120" s="21"/>
      <c r="L120" s="21"/>
      <c r="M120" s="22"/>
      <c r="N120" s="21"/>
      <c r="O120" s="21" t="s">
        <v>172</v>
      </c>
      <c r="P120" s="23"/>
      <c r="Q120" s="24"/>
      <c r="R120" s="25" t="str">
        <f t="shared" si="6"/>
        <v/>
      </c>
      <c r="S120" s="21"/>
      <c r="T120" s="22"/>
      <c r="U120" s="22"/>
      <c r="V120" s="21"/>
      <c r="W120" s="21" t="s">
        <v>172</v>
      </c>
      <c r="X120" s="21" t="s">
        <v>207</v>
      </c>
      <c r="Y120" s="21" t="s">
        <v>166</v>
      </c>
      <c r="Z120" s="21" t="s">
        <v>166</v>
      </c>
      <c r="AA120" s="10" t="s">
        <v>52</v>
      </c>
      <c r="AC120" s="10" t="s">
        <v>52</v>
      </c>
      <c r="AE120" s="10" t="s">
        <v>52</v>
      </c>
      <c r="AG120" s="21"/>
      <c r="AH120" s="22"/>
      <c r="AI120" s="22"/>
      <c r="AJ120" s="22"/>
      <c r="AK120" s="22"/>
      <c r="AL120" s="22"/>
      <c r="AM120" s="22"/>
      <c r="AN120" s="24"/>
      <c r="AO120" s="22"/>
      <c r="AP120" s="24"/>
      <c r="AQ120" s="22"/>
      <c r="AR120" s="24"/>
      <c r="AS120" s="24"/>
      <c r="AT120" s="27"/>
      <c r="AV120" s="28"/>
      <c r="AW120" s="28"/>
    </row>
    <row r="121" spans="1:49">
      <c r="A121" s="17" t="s">
        <v>46</v>
      </c>
      <c r="B121" s="4" t="s">
        <v>208</v>
      </c>
      <c r="C121" s="4">
        <v>46</v>
      </c>
      <c r="D121" s="4" t="s">
        <v>48</v>
      </c>
      <c r="E121" s="30">
        <v>44502</v>
      </c>
      <c r="F121" s="4" t="s">
        <v>49</v>
      </c>
      <c r="G121" s="19">
        <v>44670</v>
      </c>
      <c r="H121" s="19">
        <v>44502</v>
      </c>
      <c r="I121" s="32">
        <v>44682</v>
      </c>
      <c r="J121" s="31">
        <f t="shared" si="5"/>
        <v>181</v>
      </c>
      <c r="K121" s="21"/>
      <c r="L121" s="21"/>
      <c r="M121" s="22"/>
      <c r="N121" s="21"/>
      <c r="O121" s="21" t="s">
        <v>172</v>
      </c>
      <c r="P121" s="23"/>
      <c r="Q121" s="24"/>
      <c r="R121" s="25" t="str">
        <f t="shared" si="6"/>
        <v/>
      </c>
      <c r="S121" s="21"/>
      <c r="T121" s="22"/>
      <c r="U121" s="22"/>
      <c r="V121" s="21"/>
      <c r="W121" s="21" t="s">
        <v>166</v>
      </c>
      <c r="X121" s="21" t="s">
        <v>166</v>
      </c>
      <c r="Y121" s="21" t="s">
        <v>166</v>
      </c>
      <c r="Z121" s="21"/>
      <c r="AA121" s="10" t="s">
        <v>52</v>
      </c>
      <c r="AC121" s="10" t="s">
        <v>52</v>
      </c>
      <c r="AE121" s="10" t="s">
        <v>108</v>
      </c>
      <c r="AF121" s="10" t="s">
        <v>123</v>
      </c>
      <c r="AG121" s="21"/>
      <c r="AH121" s="22"/>
      <c r="AI121" s="22"/>
      <c r="AJ121" s="22"/>
      <c r="AK121" s="22"/>
      <c r="AL121" s="22"/>
      <c r="AM121" s="22"/>
      <c r="AN121" s="24"/>
      <c r="AO121" s="22"/>
      <c r="AP121" s="24"/>
      <c r="AQ121" s="22"/>
      <c r="AR121" s="24"/>
      <c r="AS121" s="24"/>
      <c r="AT121" s="27"/>
      <c r="AV121" s="28"/>
      <c r="AW121" s="28"/>
    </row>
    <row r="122" spans="1:49">
      <c r="A122" s="17" t="s">
        <v>46</v>
      </c>
      <c r="B122" s="4" t="s">
        <v>209</v>
      </c>
      <c r="C122" s="4">
        <v>44</v>
      </c>
      <c r="D122" s="4" t="s">
        <v>54</v>
      </c>
      <c r="E122" s="30">
        <v>44502</v>
      </c>
      <c r="F122" s="4" t="s">
        <v>56</v>
      </c>
      <c r="G122" s="19" t="s">
        <v>57</v>
      </c>
      <c r="H122" s="19">
        <v>44502</v>
      </c>
      <c r="I122" s="32">
        <v>44747</v>
      </c>
      <c r="J122" s="31">
        <f t="shared" si="5"/>
        <v>246</v>
      </c>
      <c r="K122" s="21"/>
      <c r="L122" s="21"/>
      <c r="M122" s="22"/>
      <c r="N122" s="21"/>
      <c r="O122" s="21" t="s">
        <v>172</v>
      </c>
      <c r="P122" s="23"/>
      <c r="Q122" s="24"/>
      <c r="R122" s="25" t="str">
        <f t="shared" si="6"/>
        <v/>
      </c>
      <c r="S122" s="21"/>
      <c r="T122" s="22"/>
      <c r="U122" s="22"/>
      <c r="V122" s="21"/>
      <c r="W122" s="21"/>
      <c r="X122" s="21"/>
      <c r="Y122" s="21"/>
      <c r="Z122" s="21"/>
      <c r="AA122" s="10" t="s">
        <v>52</v>
      </c>
      <c r="AC122" s="10" t="s">
        <v>108</v>
      </c>
      <c r="AD122" s="10" t="s">
        <v>123</v>
      </c>
      <c r="AE122" s="10" t="s">
        <v>108</v>
      </c>
      <c r="AF122" s="10" t="s">
        <v>123</v>
      </c>
      <c r="AG122" s="21"/>
      <c r="AH122" s="22"/>
      <c r="AI122" s="22"/>
      <c r="AJ122" s="22"/>
      <c r="AK122" s="22"/>
      <c r="AL122" s="22"/>
      <c r="AM122" s="22"/>
      <c r="AN122" s="24"/>
      <c r="AO122" s="22"/>
      <c r="AP122" s="24"/>
      <c r="AQ122" s="22"/>
      <c r="AR122" s="24"/>
      <c r="AS122" s="24"/>
      <c r="AT122" s="27"/>
      <c r="AV122" s="28"/>
      <c r="AW122" s="28"/>
    </row>
    <row r="123" spans="1:49">
      <c r="A123" s="17" t="s">
        <v>46</v>
      </c>
      <c r="B123" s="4" t="s">
        <v>210</v>
      </c>
      <c r="C123" s="4">
        <v>26</v>
      </c>
      <c r="D123" s="4" t="s">
        <v>48</v>
      </c>
      <c r="E123" s="30">
        <v>44503</v>
      </c>
      <c r="F123" s="4" t="s">
        <v>49</v>
      </c>
      <c r="G123" s="19">
        <v>44670</v>
      </c>
      <c r="H123" s="19">
        <v>44503</v>
      </c>
      <c r="I123" s="32">
        <v>44670</v>
      </c>
      <c r="J123" s="31">
        <f t="shared" si="5"/>
        <v>168</v>
      </c>
      <c r="K123" s="21"/>
      <c r="L123" s="21"/>
      <c r="M123" s="22"/>
      <c r="N123" s="21"/>
      <c r="O123" s="21" t="s">
        <v>172</v>
      </c>
      <c r="P123" s="23"/>
      <c r="Q123" s="24"/>
      <c r="R123" s="25" t="str">
        <f t="shared" si="6"/>
        <v/>
      </c>
      <c r="S123" s="21"/>
      <c r="T123" s="22"/>
      <c r="U123" s="22"/>
      <c r="V123" s="21"/>
      <c r="W123" s="21" t="s">
        <v>166</v>
      </c>
      <c r="X123" s="21" t="s">
        <v>166</v>
      </c>
      <c r="Y123" s="21" t="s">
        <v>166</v>
      </c>
      <c r="Z123" s="21" t="s">
        <v>189</v>
      </c>
      <c r="AA123" s="10" t="s">
        <v>52</v>
      </c>
      <c r="AC123" s="10" t="s">
        <v>52</v>
      </c>
      <c r="AE123" s="10" t="s">
        <v>52</v>
      </c>
      <c r="AG123" s="21"/>
      <c r="AH123" s="22"/>
      <c r="AI123" s="22"/>
      <c r="AJ123" s="22"/>
      <c r="AK123" s="22"/>
      <c r="AL123" s="22"/>
      <c r="AM123" s="22"/>
      <c r="AN123" s="24"/>
      <c r="AO123" s="22"/>
      <c r="AP123" s="24"/>
      <c r="AQ123" s="22"/>
      <c r="AR123" s="24"/>
      <c r="AS123" s="24"/>
      <c r="AT123" s="27"/>
      <c r="AV123" s="28"/>
      <c r="AW123" s="28"/>
    </row>
    <row r="124" spans="1:49">
      <c r="A124" s="17" t="s">
        <v>46</v>
      </c>
      <c r="B124" s="4" t="s">
        <v>211</v>
      </c>
      <c r="C124" s="4">
        <v>33</v>
      </c>
      <c r="D124" s="4" t="s">
        <v>48</v>
      </c>
      <c r="E124" s="30">
        <v>44503</v>
      </c>
      <c r="F124" s="4" t="s">
        <v>56</v>
      </c>
      <c r="G124" s="19" t="s">
        <v>57</v>
      </c>
      <c r="H124" s="19">
        <v>44503</v>
      </c>
      <c r="I124" s="32">
        <v>44693</v>
      </c>
      <c r="J124" s="31">
        <f t="shared" ref="J124:J132" si="7">IF(AND(H124&lt;&gt;"",I124&lt;&gt;""),I124-H124+1,"")</f>
        <v>191</v>
      </c>
      <c r="K124" s="21"/>
      <c r="L124" s="21"/>
      <c r="M124" s="22"/>
      <c r="N124" s="21"/>
      <c r="O124" s="21" t="s">
        <v>172</v>
      </c>
      <c r="P124" s="23"/>
      <c r="Q124" s="24"/>
      <c r="R124" s="25" t="str">
        <f t="shared" ref="R124:R132" si="8">IF(AND(P124&lt;&gt;"",Q124&lt;&gt;""),P124/(Q124/100)^2,"")</f>
        <v/>
      </c>
      <c r="S124" s="21"/>
      <c r="T124" s="22"/>
      <c r="U124" s="22"/>
      <c r="V124" s="21"/>
      <c r="W124" s="21" t="s">
        <v>166</v>
      </c>
      <c r="X124" s="21"/>
      <c r="Y124" s="21" t="s">
        <v>166</v>
      </c>
      <c r="Z124" s="21" t="s">
        <v>166</v>
      </c>
      <c r="AA124" s="10" t="s">
        <v>52</v>
      </c>
      <c r="AC124" s="10" t="s">
        <v>52</v>
      </c>
      <c r="AE124" s="10" t="s">
        <v>52</v>
      </c>
      <c r="AG124" s="21"/>
      <c r="AH124" s="22"/>
      <c r="AI124" s="22"/>
      <c r="AJ124" s="22"/>
      <c r="AK124" s="22"/>
      <c r="AL124" s="22"/>
      <c r="AM124" s="22"/>
      <c r="AN124" s="24"/>
      <c r="AO124" s="22"/>
      <c r="AP124" s="24"/>
      <c r="AQ124" s="22"/>
      <c r="AR124" s="24"/>
      <c r="AS124" s="24"/>
      <c r="AT124" s="27"/>
      <c r="AV124" s="28"/>
      <c r="AW124" s="28"/>
    </row>
    <row r="125" spans="1:49">
      <c r="A125" s="17" t="s">
        <v>46</v>
      </c>
      <c r="B125" s="4" t="s">
        <v>212</v>
      </c>
      <c r="C125" s="4"/>
      <c r="D125" s="4" t="s">
        <v>48</v>
      </c>
      <c r="E125" s="30">
        <v>44515</v>
      </c>
      <c r="F125" s="4" t="s">
        <v>56</v>
      </c>
      <c r="G125" s="19" t="s">
        <v>57</v>
      </c>
      <c r="H125" s="19">
        <v>44515</v>
      </c>
      <c r="I125" s="32"/>
      <c r="J125" s="31" t="str">
        <f t="shared" si="7"/>
        <v/>
      </c>
      <c r="K125" s="21"/>
      <c r="L125" s="21"/>
      <c r="M125" s="22"/>
      <c r="N125" s="21"/>
      <c r="O125" s="21" t="s">
        <v>172</v>
      </c>
      <c r="P125" s="23"/>
      <c r="Q125" s="24"/>
      <c r="R125" s="25" t="str">
        <f t="shared" si="8"/>
        <v/>
      </c>
      <c r="S125" s="21"/>
      <c r="T125" s="22"/>
      <c r="U125" s="22"/>
      <c r="V125" s="21"/>
      <c r="W125" s="21"/>
      <c r="X125" s="21"/>
      <c r="Y125" s="21"/>
      <c r="Z125" s="21"/>
      <c r="AA125" s="10" t="s">
        <v>108</v>
      </c>
      <c r="AB125" s="10" t="s">
        <v>123</v>
      </c>
      <c r="AC125" s="10" t="s">
        <v>108</v>
      </c>
      <c r="AD125" s="10" t="s">
        <v>123</v>
      </c>
      <c r="AE125" s="10" t="s">
        <v>108</v>
      </c>
      <c r="AF125" s="10" t="s">
        <v>123</v>
      </c>
      <c r="AG125" s="21"/>
      <c r="AH125" s="22"/>
      <c r="AI125" s="22"/>
      <c r="AJ125" s="22"/>
      <c r="AK125" s="22"/>
      <c r="AL125" s="22"/>
      <c r="AM125" s="22"/>
      <c r="AN125" s="24"/>
      <c r="AO125" s="22"/>
      <c r="AP125" s="24"/>
      <c r="AQ125" s="22"/>
      <c r="AR125" s="24"/>
      <c r="AS125" s="24"/>
      <c r="AT125" s="27"/>
      <c r="AV125" s="28"/>
      <c r="AW125" s="28"/>
    </row>
    <row r="126" spans="1:49">
      <c r="A126" s="17" t="s">
        <v>46</v>
      </c>
      <c r="B126" s="4" t="s">
        <v>213</v>
      </c>
      <c r="C126" s="4">
        <v>33</v>
      </c>
      <c r="D126" s="4" t="s">
        <v>48</v>
      </c>
      <c r="E126" s="30">
        <v>44519</v>
      </c>
      <c r="F126" s="4" t="s">
        <v>64</v>
      </c>
      <c r="G126" s="19" t="s">
        <v>57</v>
      </c>
      <c r="H126" s="19">
        <v>44519</v>
      </c>
      <c r="I126" s="32">
        <v>44874</v>
      </c>
      <c r="J126" s="31">
        <f t="shared" si="7"/>
        <v>356</v>
      </c>
      <c r="K126" s="21"/>
      <c r="L126" s="21"/>
      <c r="M126" s="22"/>
      <c r="N126" s="21"/>
      <c r="O126" s="21" t="s">
        <v>172</v>
      </c>
      <c r="P126" s="23"/>
      <c r="Q126" s="24"/>
      <c r="R126" s="25" t="str">
        <f t="shared" si="8"/>
        <v/>
      </c>
      <c r="S126" s="21"/>
      <c r="T126" s="22"/>
      <c r="U126" s="22"/>
      <c r="V126" s="21"/>
      <c r="W126" s="21" t="s">
        <v>172</v>
      </c>
      <c r="X126" s="21"/>
      <c r="Y126" s="21" t="s">
        <v>172</v>
      </c>
      <c r="Z126" s="21"/>
      <c r="AA126" s="10" t="s">
        <v>52</v>
      </c>
      <c r="AC126" s="10" t="s">
        <v>108</v>
      </c>
      <c r="AD126" s="10" t="s">
        <v>214</v>
      </c>
      <c r="AG126" s="21"/>
      <c r="AH126" s="22"/>
      <c r="AI126" s="22"/>
      <c r="AJ126" s="22"/>
      <c r="AK126" s="22"/>
      <c r="AL126" s="22"/>
      <c r="AM126" s="22"/>
      <c r="AN126" s="24"/>
      <c r="AO126" s="22"/>
      <c r="AP126" s="24"/>
      <c r="AQ126" s="22"/>
      <c r="AR126" s="24"/>
      <c r="AS126" s="24"/>
      <c r="AT126" s="27"/>
      <c r="AV126" s="28"/>
      <c r="AW126" s="28"/>
    </row>
    <row r="127" spans="1:49">
      <c r="A127" s="17" t="s">
        <v>46</v>
      </c>
      <c r="B127" s="4" t="s">
        <v>215</v>
      </c>
      <c r="C127" s="4">
        <v>30</v>
      </c>
      <c r="D127" s="4" t="s">
        <v>48</v>
      </c>
      <c r="E127" s="30">
        <v>44522</v>
      </c>
      <c r="F127" s="4" t="s">
        <v>56</v>
      </c>
      <c r="G127" s="19" t="s">
        <v>57</v>
      </c>
      <c r="H127" s="19">
        <v>44522</v>
      </c>
      <c r="I127" s="32">
        <v>44795</v>
      </c>
      <c r="J127" s="31">
        <f t="shared" si="7"/>
        <v>274</v>
      </c>
      <c r="K127" s="21"/>
      <c r="L127" s="21"/>
      <c r="M127" s="22"/>
      <c r="N127" s="21"/>
      <c r="O127" s="21" t="s">
        <v>172</v>
      </c>
      <c r="P127" s="23"/>
      <c r="Q127" s="24"/>
      <c r="R127" s="25" t="str">
        <f t="shared" si="8"/>
        <v/>
      </c>
      <c r="S127" s="21"/>
      <c r="T127" s="22"/>
      <c r="U127" s="22"/>
      <c r="V127" s="21"/>
      <c r="W127" s="21" t="s">
        <v>166</v>
      </c>
      <c r="X127" s="21"/>
      <c r="Y127" s="21" t="s">
        <v>166</v>
      </c>
      <c r="Z127" s="21" t="s">
        <v>166</v>
      </c>
      <c r="AA127" s="10" t="s">
        <v>52</v>
      </c>
      <c r="AC127" s="10" t="s">
        <v>52</v>
      </c>
      <c r="AE127" s="10" t="s">
        <v>52</v>
      </c>
      <c r="AG127" s="21"/>
      <c r="AH127" s="22"/>
      <c r="AI127" s="22"/>
      <c r="AJ127" s="22"/>
      <c r="AK127" s="22"/>
      <c r="AL127" s="22"/>
      <c r="AM127" s="22"/>
      <c r="AN127" s="24"/>
      <c r="AO127" s="22"/>
      <c r="AP127" s="24"/>
      <c r="AQ127" s="22"/>
      <c r="AR127" s="24"/>
      <c r="AS127" s="24"/>
      <c r="AT127" s="27"/>
      <c r="AV127" s="28"/>
      <c r="AW127" s="28"/>
    </row>
    <row r="128" spans="1:49">
      <c r="A128" s="17" t="s">
        <v>46</v>
      </c>
      <c r="B128" s="4" t="s">
        <v>216</v>
      </c>
      <c r="C128" s="4">
        <v>51</v>
      </c>
      <c r="D128" s="4" t="s">
        <v>54</v>
      </c>
      <c r="E128" s="30">
        <v>44525</v>
      </c>
      <c r="F128" s="4" t="s">
        <v>49</v>
      </c>
      <c r="G128" s="19">
        <v>44676</v>
      </c>
      <c r="H128" s="19">
        <v>44525</v>
      </c>
      <c r="I128" s="32"/>
      <c r="J128" s="31" t="str">
        <f t="shared" si="7"/>
        <v/>
      </c>
      <c r="K128" s="21"/>
      <c r="L128" s="21"/>
      <c r="M128" s="22"/>
      <c r="N128" s="21"/>
      <c r="O128" s="21" t="s">
        <v>172</v>
      </c>
      <c r="P128" s="23"/>
      <c r="Q128" s="24"/>
      <c r="R128" s="25" t="str">
        <f t="shared" si="8"/>
        <v/>
      </c>
      <c r="S128" s="21"/>
      <c r="T128" s="22"/>
      <c r="U128" s="22"/>
      <c r="V128" s="21"/>
      <c r="W128" s="21" t="s">
        <v>166</v>
      </c>
      <c r="X128" s="21"/>
      <c r="Y128" s="21"/>
      <c r="Z128" s="21"/>
      <c r="AA128" s="10" t="s">
        <v>108</v>
      </c>
      <c r="AB128" s="10" t="s">
        <v>123</v>
      </c>
      <c r="AC128" s="10" t="s">
        <v>108</v>
      </c>
      <c r="AD128" s="10" t="s">
        <v>123</v>
      </c>
      <c r="AE128" s="10" t="s">
        <v>108</v>
      </c>
      <c r="AF128" s="10" t="s">
        <v>123</v>
      </c>
      <c r="AG128" s="21"/>
      <c r="AH128" s="22"/>
      <c r="AI128" s="22"/>
      <c r="AJ128" s="22"/>
      <c r="AK128" s="22"/>
      <c r="AL128" s="22"/>
      <c r="AM128" s="22" t="s">
        <v>217</v>
      </c>
      <c r="AN128" s="24"/>
      <c r="AO128" s="22"/>
      <c r="AP128" s="24"/>
      <c r="AQ128" s="22"/>
      <c r="AR128" s="24"/>
      <c r="AS128" s="24"/>
      <c r="AT128" s="27"/>
      <c r="AV128" s="28"/>
      <c r="AW128" s="28"/>
    </row>
    <row r="129" spans="1:49">
      <c r="A129" s="17" t="s">
        <v>46</v>
      </c>
      <c r="B129" s="4" t="s">
        <v>218</v>
      </c>
      <c r="C129" s="4">
        <v>62</v>
      </c>
      <c r="D129" s="4" t="s">
        <v>54</v>
      </c>
      <c r="E129" s="30">
        <v>44533</v>
      </c>
      <c r="F129" s="4" t="s">
        <v>49</v>
      </c>
      <c r="G129" s="19">
        <v>44701</v>
      </c>
      <c r="H129" s="19">
        <v>44533</v>
      </c>
      <c r="I129" s="32">
        <v>44726</v>
      </c>
      <c r="J129" s="31">
        <f t="shared" si="7"/>
        <v>194</v>
      </c>
      <c r="K129" s="21"/>
      <c r="L129" s="21"/>
      <c r="M129" s="22"/>
      <c r="N129" s="21"/>
      <c r="O129" s="21" t="s">
        <v>166</v>
      </c>
      <c r="P129" s="23"/>
      <c r="Q129" s="24"/>
      <c r="R129" s="25" t="str">
        <f t="shared" si="8"/>
        <v/>
      </c>
      <c r="S129" s="21"/>
      <c r="T129" s="22"/>
      <c r="U129" s="22"/>
      <c r="V129" s="21"/>
      <c r="W129" s="21" t="s">
        <v>166</v>
      </c>
      <c r="X129" s="21" t="s">
        <v>166</v>
      </c>
      <c r="Y129" s="21" t="s">
        <v>166</v>
      </c>
      <c r="Z129" s="21"/>
      <c r="AA129" s="10" t="s">
        <v>52</v>
      </c>
      <c r="AC129" s="10" t="s">
        <v>52</v>
      </c>
      <c r="AE129" s="10" t="s">
        <v>108</v>
      </c>
      <c r="AF129" s="10" t="s">
        <v>123</v>
      </c>
      <c r="AG129" s="21"/>
      <c r="AH129" s="22"/>
      <c r="AI129" s="22"/>
      <c r="AJ129" s="22"/>
      <c r="AK129" s="22"/>
      <c r="AL129" s="22"/>
      <c r="AM129" s="22"/>
      <c r="AN129" s="24"/>
      <c r="AO129" s="22"/>
      <c r="AP129" s="24"/>
      <c r="AQ129" s="22"/>
      <c r="AR129" s="24"/>
      <c r="AS129" s="24"/>
      <c r="AT129" s="27"/>
      <c r="AV129" s="28"/>
      <c r="AW129" s="28"/>
    </row>
    <row r="130" spans="1:49">
      <c r="A130" s="17" t="s">
        <v>46</v>
      </c>
      <c r="B130" s="4" t="s">
        <v>219</v>
      </c>
      <c r="C130" s="4">
        <v>75</v>
      </c>
      <c r="D130" s="4" t="s">
        <v>54</v>
      </c>
      <c r="E130" s="30">
        <v>44536</v>
      </c>
      <c r="F130" s="4" t="s">
        <v>56</v>
      </c>
      <c r="G130" s="19" t="s">
        <v>57</v>
      </c>
      <c r="H130" s="19">
        <v>44536</v>
      </c>
      <c r="I130" s="32"/>
      <c r="J130" s="31" t="str">
        <f t="shared" si="7"/>
        <v/>
      </c>
      <c r="K130" s="21"/>
      <c r="L130" s="21"/>
      <c r="M130" s="22"/>
      <c r="N130" s="21"/>
      <c r="O130" s="21" t="s">
        <v>172</v>
      </c>
      <c r="P130" s="23"/>
      <c r="Q130" s="24"/>
      <c r="R130" s="25" t="str">
        <f t="shared" si="8"/>
        <v/>
      </c>
      <c r="S130" s="21"/>
      <c r="T130" s="22"/>
      <c r="U130" s="22"/>
      <c r="V130" s="21"/>
      <c r="W130" s="21"/>
      <c r="X130" s="21"/>
      <c r="Y130" s="21"/>
      <c r="Z130" s="21"/>
      <c r="AA130" s="10" t="s">
        <v>108</v>
      </c>
      <c r="AB130" s="10" t="s">
        <v>123</v>
      </c>
      <c r="AC130" s="10" t="s">
        <v>108</v>
      </c>
      <c r="AD130" s="10" t="s">
        <v>123</v>
      </c>
      <c r="AE130" s="10" t="s">
        <v>108</v>
      </c>
      <c r="AF130" s="10" t="s">
        <v>123</v>
      </c>
      <c r="AG130" s="21"/>
      <c r="AH130" s="22"/>
      <c r="AI130" s="22"/>
      <c r="AJ130" s="22"/>
      <c r="AK130" s="22"/>
      <c r="AL130" s="22"/>
      <c r="AM130" s="22" t="s">
        <v>220</v>
      </c>
      <c r="AN130" s="24"/>
      <c r="AO130" s="22"/>
      <c r="AP130" s="24"/>
      <c r="AQ130" s="22"/>
      <c r="AR130" s="24"/>
      <c r="AS130" s="24"/>
      <c r="AT130" s="27"/>
      <c r="AV130" s="28"/>
      <c r="AW130" s="28"/>
    </row>
    <row r="131" spans="1:49">
      <c r="A131" s="17" t="s">
        <v>46</v>
      </c>
      <c r="B131" s="4" t="s">
        <v>221</v>
      </c>
      <c r="C131" s="4"/>
      <c r="D131" s="4" t="s">
        <v>48</v>
      </c>
      <c r="E131" s="30">
        <v>44537</v>
      </c>
      <c r="F131" s="4" t="s">
        <v>56</v>
      </c>
      <c r="G131" s="19" t="s">
        <v>57</v>
      </c>
      <c r="H131" s="19">
        <v>44537</v>
      </c>
      <c r="I131" s="32"/>
      <c r="J131" s="31" t="str">
        <f t="shared" si="7"/>
        <v/>
      </c>
      <c r="K131" s="21"/>
      <c r="L131" s="21"/>
      <c r="M131" s="22"/>
      <c r="N131" s="21"/>
      <c r="O131" s="21" t="s">
        <v>172</v>
      </c>
      <c r="P131" s="23"/>
      <c r="Q131" s="24"/>
      <c r="R131" s="25" t="str">
        <f t="shared" si="8"/>
        <v/>
      </c>
      <c r="S131" s="21"/>
      <c r="T131" s="22"/>
      <c r="U131" s="22"/>
      <c r="V131" s="21"/>
      <c r="W131" s="21"/>
      <c r="X131" s="21"/>
      <c r="Y131" s="21"/>
      <c r="Z131" s="21"/>
      <c r="AG131" s="21"/>
      <c r="AH131" s="22"/>
      <c r="AI131" s="22"/>
      <c r="AJ131" s="22"/>
      <c r="AK131" s="22"/>
      <c r="AL131" s="22"/>
      <c r="AM131" s="22" t="s">
        <v>222</v>
      </c>
      <c r="AN131" s="24"/>
      <c r="AO131" s="22"/>
      <c r="AP131" s="24"/>
      <c r="AQ131" s="22"/>
      <c r="AR131" s="24"/>
      <c r="AS131" s="24"/>
      <c r="AT131" s="27"/>
      <c r="AV131" s="28"/>
      <c r="AW131" s="28"/>
    </row>
    <row r="132" spans="1:49">
      <c r="A132" s="17" t="s">
        <v>46</v>
      </c>
      <c r="B132" s="4" t="s">
        <v>223</v>
      </c>
      <c r="C132" s="4">
        <v>56</v>
      </c>
      <c r="D132" s="4" t="s">
        <v>48</v>
      </c>
      <c r="E132" s="30">
        <v>44539</v>
      </c>
      <c r="F132" s="4" t="s">
        <v>56</v>
      </c>
      <c r="G132" s="19">
        <v>44711</v>
      </c>
      <c r="H132" s="19">
        <v>44539</v>
      </c>
      <c r="I132" s="32">
        <v>44805</v>
      </c>
      <c r="J132" s="31">
        <f t="shared" si="7"/>
        <v>267</v>
      </c>
      <c r="K132" s="21"/>
      <c r="L132" s="21"/>
      <c r="M132" s="22"/>
      <c r="N132" s="21"/>
      <c r="O132" s="21" t="s">
        <v>172</v>
      </c>
      <c r="P132" s="23"/>
      <c r="Q132" s="24"/>
      <c r="R132" s="25" t="str">
        <f t="shared" si="8"/>
        <v/>
      </c>
      <c r="S132" s="21"/>
      <c r="T132" s="22"/>
      <c r="U132" s="22"/>
      <c r="V132" s="21"/>
      <c r="W132" s="21" t="s">
        <v>166</v>
      </c>
      <c r="X132" s="21" t="s">
        <v>166</v>
      </c>
      <c r="Y132" s="21" t="s">
        <v>172</v>
      </c>
      <c r="Z132" s="21"/>
      <c r="AG132" s="21"/>
      <c r="AH132" s="22"/>
      <c r="AI132" s="22"/>
      <c r="AJ132" s="22"/>
      <c r="AK132" s="22"/>
      <c r="AL132" s="22"/>
      <c r="AM132" s="22" t="s">
        <v>224</v>
      </c>
      <c r="AN132" s="24"/>
      <c r="AO132" s="22"/>
      <c r="AP132" s="24"/>
      <c r="AQ132" s="22"/>
      <c r="AR132" s="24"/>
      <c r="AS132" s="24"/>
      <c r="AT132" s="27"/>
      <c r="AV132" s="28"/>
      <c r="AW132" s="28"/>
    </row>
    <row r="133" spans="1:49">
      <c r="A133" s="17" t="s">
        <v>46</v>
      </c>
      <c r="B133" s="4" t="s">
        <v>225</v>
      </c>
      <c r="C133" s="4">
        <v>38</v>
      </c>
      <c r="D133" s="4" t="s">
        <v>48</v>
      </c>
      <c r="E133" s="30">
        <v>44553</v>
      </c>
      <c r="F133" s="4" t="s">
        <v>49</v>
      </c>
      <c r="G133" s="19" t="s">
        <v>57</v>
      </c>
      <c r="H133" s="19">
        <v>44553</v>
      </c>
      <c r="I133" s="32"/>
      <c r="J133" s="31"/>
      <c r="K133" s="21"/>
      <c r="L133" s="21"/>
      <c r="M133" s="22"/>
      <c r="N133" s="21"/>
      <c r="O133" s="21" t="s">
        <v>172</v>
      </c>
      <c r="P133" s="23"/>
      <c r="Q133" s="24"/>
      <c r="R133" s="25"/>
      <c r="S133" s="21"/>
      <c r="T133" s="22"/>
      <c r="U133" s="22"/>
      <c r="V133" s="21"/>
      <c r="W133" s="21"/>
      <c r="X133" s="21"/>
      <c r="Y133" s="21"/>
      <c r="Z133" s="21"/>
      <c r="AA133" s="10" t="s">
        <v>108</v>
      </c>
      <c r="AB133" s="10" t="s">
        <v>123</v>
      </c>
      <c r="AC133" s="10" t="s">
        <v>108</v>
      </c>
      <c r="AD133" s="10" t="s">
        <v>123</v>
      </c>
      <c r="AE133" s="10" t="s">
        <v>108</v>
      </c>
      <c r="AF133" s="10" t="s">
        <v>123</v>
      </c>
      <c r="AG133" s="21"/>
      <c r="AH133" s="22"/>
      <c r="AI133" s="22"/>
      <c r="AJ133" s="22"/>
      <c r="AK133" s="22"/>
      <c r="AL133" s="22"/>
      <c r="AM133" s="22" t="s">
        <v>226</v>
      </c>
      <c r="AN133" s="24"/>
      <c r="AO133" s="22"/>
      <c r="AP133" s="24"/>
      <c r="AQ133" s="22"/>
      <c r="AR133" s="24"/>
      <c r="AS133" s="24"/>
      <c r="AT133" s="27"/>
      <c r="AV133" s="28"/>
      <c r="AW133" s="28"/>
    </row>
    <row r="134" spans="1:49">
      <c r="A134" s="17" t="s">
        <v>46</v>
      </c>
      <c r="B134" s="4" t="s">
        <v>227</v>
      </c>
      <c r="C134" s="4">
        <v>39</v>
      </c>
      <c r="D134" s="4" t="s">
        <v>48</v>
      </c>
      <c r="E134" s="30">
        <v>44554</v>
      </c>
      <c r="F134" s="4" t="s">
        <v>49</v>
      </c>
      <c r="G134" s="19">
        <v>44701</v>
      </c>
      <c r="H134" s="19">
        <v>44554</v>
      </c>
      <c r="I134" s="32">
        <v>44816</v>
      </c>
      <c r="J134" s="31" t="str">
        <f>IF(AND(H133&lt;&gt;"",I133&lt;&gt;""),I133-H133+1,"")</f>
        <v/>
      </c>
      <c r="K134" s="21"/>
      <c r="L134" s="21"/>
      <c r="M134" s="22"/>
      <c r="N134" s="21"/>
      <c r="O134" s="21" t="s">
        <v>172</v>
      </c>
      <c r="P134" s="23"/>
      <c r="Q134" s="24"/>
      <c r="R134" s="25"/>
      <c r="S134" s="21"/>
      <c r="T134" s="22"/>
      <c r="U134" s="22"/>
      <c r="V134" s="21"/>
      <c r="W134" s="21"/>
      <c r="X134" s="21" t="s">
        <v>166</v>
      </c>
      <c r="Y134" s="21" t="s">
        <v>166</v>
      </c>
      <c r="Z134" s="21"/>
      <c r="AA134" s="10" t="s">
        <v>52</v>
      </c>
      <c r="AC134" s="10" t="s">
        <v>52</v>
      </c>
      <c r="AE134" s="10" t="s">
        <v>108</v>
      </c>
      <c r="AF134" s="10" t="s">
        <v>123</v>
      </c>
      <c r="AG134" s="21"/>
      <c r="AH134" s="22"/>
      <c r="AI134" s="22"/>
      <c r="AJ134" s="22"/>
      <c r="AK134" s="22"/>
      <c r="AL134" s="22"/>
      <c r="AM134" s="22"/>
      <c r="AN134" s="24"/>
      <c r="AO134" s="22"/>
      <c r="AP134" s="24"/>
      <c r="AQ134" s="22"/>
      <c r="AR134" s="24"/>
      <c r="AS134" s="24"/>
      <c r="AT134" s="27"/>
      <c r="AV134" s="28"/>
      <c r="AW134" s="28"/>
    </row>
    <row r="135" spans="1:49">
      <c r="A135" s="17" t="s">
        <v>46</v>
      </c>
      <c r="B135" s="4" t="s">
        <v>228</v>
      </c>
      <c r="C135" s="4">
        <v>34</v>
      </c>
      <c r="D135" s="4" t="s">
        <v>48</v>
      </c>
      <c r="E135" s="30">
        <v>44559</v>
      </c>
      <c r="F135" s="4" t="s">
        <v>49</v>
      </c>
      <c r="G135" s="19" t="s">
        <v>57</v>
      </c>
      <c r="H135" s="19">
        <v>44559</v>
      </c>
      <c r="I135" s="32">
        <v>44834</v>
      </c>
      <c r="J135" s="31"/>
      <c r="K135" s="21"/>
      <c r="L135" s="21"/>
      <c r="M135" s="22"/>
      <c r="N135" s="21"/>
      <c r="O135" s="21" t="s">
        <v>172</v>
      </c>
      <c r="P135" s="23"/>
      <c r="Q135" s="24"/>
      <c r="R135" s="25"/>
      <c r="S135" s="21"/>
      <c r="T135" s="22"/>
      <c r="U135" s="22"/>
      <c r="V135" s="21"/>
      <c r="W135" s="21" t="s">
        <v>189</v>
      </c>
      <c r="X135" s="21" t="s">
        <v>189</v>
      </c>
      <c r="Y135" s="21" t="s">
        <v>166</v>
      </c>
      <c r="Z135" s="21" t="s">
        <v>166</v>
      </c>
      <c r="AA135" s="10" t="s">
        <v>52</v>
      </c>
      <c r="AC135" s="10" t="s">
        <v>52</v>
      </c>
      <c r="AE135" s="10" t="s">
        <v>52</v>
      </c>
      <c r="AG135" s="21"/>
      <c r="AH135" s="22"/>
      <c r="AI135" s="22"/>
      <c r="AJ135" s="22"/>
      <c r="AK135" s="22"/>
      <c r="AL135" s="22"/>
      <c r="AM135" s="22"/>
      <c r="AN135" s="24"/>
      <c r="AO135" s="22"/>
      <c r="AP135" s="24"/>
      <c r="AQ135" s="22"/>
      <c r="AR135" s="24"/>
      <c r="AS135" s="24"/>
      <c r="AT135" s="27"/>
      <c r="AV135" s="28"/>
      <c r="AW135" s="28"/>
    </row>
    <row r="136" spans="1:49">
      <c r="A136" s="17" t="s">
        <v>46</v>
      </c>
      <c r="B136" s="4" t="s">
        <v>229</v>
      </c>
      <c r="C136" s="4">
        <v>51</v>
      </c>
      <c r="D136" s="4" t="s">
        <v>48</v>
      </c>
      <c r="E136" s="30">
        <v>44565</v>
      </c>
      <c r="F136" s="4" t="s">
        <v>49</v>
      </c>
      <c r="G136" s="19">
        <v>44725</v>
      </c>
      <c r="H136" s="19">
        <v>44565</v>
      </c>
      <c r="I136" s="32">
        <v>44747</v>
      </c>
      <c r="J136" s="31"/>
      <c r="K136" s="21"/>
      <c r="L136" s="21"/>
      <c r="M136" s="22"/>
      <c r="N136" s="21"/>
      <c r="O136" s="21" t="s">
        <v>166</v>
      </c>
      <c r="P136" s="23"/>
      <c r="Q136" s="24"/>
      <c r="R136" s="25"/>
      <c r="S136" s="21"/>
      <c r="T136" s="22"/>
      <c r="U136" s="22"/>
      <c r="V136" s="21"/>
      <c r="W136" s="21" t="s">
        <v>166</v>
      </c>
      <c r="X136" s="21" t="s">
        <v>166</v>
      </c>
      <c r="Y136" s="21" t="s">
        <v>166</v>
      </c>
      <c r="Z136" s="21" t="s">
        <v>166</v>
      </c>
      <c r="AA136" s="10" t="s">
        <v>52</v>
      </c>
      <c r="AC136" s="10" t="s">
        <v>52</v>
      </c>
      <c r="AE136" s="10" t="s">
        <v>52</v>
      </c>
      <c r="AG136" s="21"/>
      <c r="AH136" s="22"/>
      <c r="AI136" s="22"/>
      <c r="AJ136" s="22"/>
      <c r="AK136" s="22"/>
      <c r="AL136" s="22"/>
      <c r="AM136" s="22"/>
      <c r="AN136" s="24"/>
      <c r="AO136" s="22"/>
      <c r="AP136" s="24"/>
      <c r="AQ136" s="22"/>
      <c r="AR136" s="24"/>
      <c r="AS136" s="24"/>
      <c r="AT136" s="27"/>
      <c r="AV136" s="28"/>
      <c r="AW136" s="28"/>
    </row>
    <row r="137" spans="1:49">
      <c r="A137" s="17" t="s">
        <v>46</v>
      </c>
      <c r="B137" s="4" t="s">
        <v>230</v>
      </c>
      <c r="C137" s="4">
        <v>28</v>
      </c>
      <c r="D137" s="4" t="s">
        <v>54</v>
      </c>
      <c r="E137" s="30">
        <v>44571</v>
      </c>
      <c r="F137" s="4" t="s">
        <v>49</v>
      </c>
      <c r="G137" s="19">
        <v>44743</v>
      </c>
      <c r="H137" s="19">
        <v>44571</v>
      </c>
      <c r="I137" s="32">
        <v>44776</v>
      </c>
      <c r="J137" s="31"/>
      <c r="K137" s="21"/>
      <c r="L137" s="21"/>
      <c r="M137" s="22"/>
      <c r="N137" s="21"/>
      <c r="O137" s="21" t="s">
        <v>172</v>
      </c>
      <c r="P137" s="23"/>
      <c r="Q137" s="24"/>
      <c r="R137" s="25"/>
      <c r="S137" s="21"/>
      <c r="T137" s="22"/>
      <c r="U137" s="22"/>
      <c r="V137" s="21"/>
      <c r="W137" s="21" t="s">
        <v>166</v>
      </c>
      <c r="X137" s="21" t="s">
        <v>166</v>
      </c>
      <c r="Y137" s="21" t="s">
        <v>166</v>
      </c>
      <c r="Z137" s="21" t="s">
        <v>166</v>
      </c>
      <c r="AA137" s="10" t="s">
        <v>52</v>
      </c>
      <c r="AC137" s="10" t="s">
        <v>52</v>
      </c>
      <c r="AE137" s="10" t="s">
        <v>52</v>
      </c>
      <c r="AG137" s="21"/>
      <c r="AH137" s="22"/>
      <c r="AI137" s="22"/>
      <c r="AJ137" s="22"/>
      <c r="AK137" s="22"/>
      <c r="AL137" s="22"/>
      <c r="AM137" s="22"/>
      <c r="AN137" s="24"/>
      <c r="AO137" s="22"/>
      <c r="AP137" s="24"/>
      <c r="AQ137" s="22"/>
      <c r="AR137" s="24"/>
      <c r="AS137" s="24"/>
      <c r="AT137" s="27"/>
      <c r="AV137" s="28"/>
      <c r="AW137" s="28"/>
    </row>
    <row r="138" spans="1:49">
      <c r="A138" s="17" t="s">
        <v>46</v>
      </c>
      <c r="B138" s="4" t="s">
        <v>231</v>
      </c>
      <c r="C138" s="4">
        <v>56</v>
      </c>
      <c r="D138" s="4" t="s">
        <v>48</v>
      </c>
      <c r="E138" s="30">
        <v>44571</v>
      </c>
      <c r="F138" s="4" t="s">
        <v>82</v>
      </c>
      <c r="G138" s="19" t="s">
        <v>57</v>
      </c>
      <c r="H138" s="19">
        <v>44571</v>
      </c>
      <c r="I138" s="32">
        <v>44807</v>
      </c>
      <c r="J138" s="31"/>
      <c r="K138" s="21"/>
      <c r="L138" s="21"/>
      <c r="M138" s="22"/>
      <c r="N138" s="21"/>
      <c r="O138" s="21" t="s">
        <v>172</v>
      </c>
      <c r="P138" s="23"/>
      <c r="Q138" s="24"/>
      <c r="R138" s="25"/>
      <c r="S138" s="21"/>
      <c r="T138" s="22"/>
      <c r="U138" s="22"/>
      <c r="V138" s="21"/>
      <c r="W138" s="21"/>
      <c r="X138" s="21" t="s">
        <v>166</v>
      </c>
      <c r="Y138" s="21" t="s">
        <v>166</v>
      </c>
      <c r="Z138" s="21" t="s">
        <v>166</v>
      </c>
      <c r="AA138" s="10" t="s">
        <v>52</v>
      </c>
      <c r="AC138" s="10" t="s">
        <v>52</v>
      </c>
      <c r="AE138" s="10" t="s">
        <v>52</v>
      </c>
      <c r="AG138" s="21"/>
      <c r="AH138" s="22"/>
      <c r="AI138" s="22"/>
      <c r="AJ138" s="22"/>
      <c r="AK138" s="22"/>
      <c r="AL138" s="22"/>
      <c r="AM138" s="22"/>
      <c r="AN138" s="24"/>
      <c r="AO138" s="22"/>
      <c r="AP138" s="24"/>
      <c r="AQ138" s="22"/>
      <c r="AR138" s="24"/>
      <c r="AS138" s="24"/>
      <c r="AT138" s="27"/>
      <c r="AV138" s="28"/>
      <c r="AW138" s="28"/>
    </row>
    <row r="139" spans="1:49">
      <c r="A139" s="17" t="s">
        <v>46</v>
      </c>
      <c r="B139" s="4" t="s">
        <v>232</v>
      </c>
      <c r="C139" s="4">
        <v>61</v>
      </c>
      <c r="D139" s="4" t="s">
        <v>48</v>
      </c>
      <c r="E139" s="30">
        <v>44582</v>
      </c>
      <c r="F139" s="4" t="s">
        <v>49</v>
      </c>
      <c r="G139" s="19">
        <v>44750</v>
      </c>
      <c r="H139" s="19">
        <v>44582</v>
      </c>
      <c r="I139" s="32"/>
      <c r="J139" s="31"/>
      <c r="K139" s="21"/>
      <c r="L139" s="21"/>
      <c r="M139" s="22"/>
      <c r="N139" s="21"/>
      <c r="O139" s="21" t="s">
        <v>172</v>
      </c>
      <c r="P139" s="23"/>
      <c r="Q139" s="24"/>
      <c r="R139" s="25"/>
      <c r="S139" s="21"/>
      <c r="T139" s="22"/>
      <c r="U139" s="22"/>
      <c r="V139" s="21"/>
      <c r="W139" s="21" t="s">
        <v>166</v>
      </c>
      <c r="X139" s="21"/>
      <c r="Y139" s="21"/>
      <c r="Z139" s="21"/>
      <c r="AA139" s="10" t="s">
        <v>108</v>
      </c>
      <c r="AB139" s="10" t="s">
        <v>123</v>
      </c>
      <c r="AC139" s="10" t="s">
        <v>108</v>
      </c>
      <c r="AD139" s="10" t="s">
        <v>123</v>
      </c>
      <c r="AE139" s="10" t="s">
        <v>108</v>
      </c>
      <c r="AF139" s="10" t="s">
        <v>123</v>
      </c>
      <c r="AG139" s="21"/>
      <c r="AH139" s="22"/>
      <c r="AI139" s="22"/>
      <c r="AJ139" s="22"/>
      <c r="AK139" s="22"/>
      <c r="AL139" s="22"/>
      <c r="AM139" s="22" t="s">
        <v>233</v>
      </c>
      <c r="AN139" s="24"/>
      <c r="AO139" s="22"/>
      <c r="AP139" s="24"/>
      <c r="AQ139" s="22"/>
      <c r="AR139" s="24"/>
      <c r="AS139" s="24"/>
      <c r="AT139" s="27"/>
      <c r="AV139" s="28"/>
      <c r="AW139" s="28"/>
    </row>
    <row r="140" spans="1:49">
      <c r="A140" s="17" t="s">
        <v>46</v>
      </c>
      <c r="B140" s="4" t="s">
        <v>234</v>
      </c>
      <c r="C140" s="21">
        <v>38</v>
      </c>
      <c r="D140" s="21" t="s">
        <v>48</v>
      </c>
      <c r="E140" s="30">
        <v>44586</v>
      </c>
      <c r="F140" s="4" t="s">
        <v>82</v>
      </c>
      <c r="G140" s="19">
        <v>44745</v>
      </c>
      <c r="H140" s="19">
        <v>44586</v>
      </c>
      <c r="I140" s="32">
        <v>44834</v>
      </c>
      <c r="J140" s="31"/>
      <c r="K140" s="21"/>
      <c r="L140" s="21"/>
      <c r="M140" s="22"/>
      <c r="N140" s="21"/>
      <c r="O140" s="21" t="s">
        <v>172</v>
      </c>
      <c r="P140" s="23"/>
      <c r="Q140" s="24"/>
      <c r="R140" s="25"/>
      <c r="S140" s="21"/>
      <c r="T140" s="22"/>
      <c r="U140" s="22"/>
      <c r="V140" s="21"/>
      <c r="W140" s="21"/>
      <c r="X140" s="21" t="s">
        <v>166</v>
      </c>
      <c r="Y140" s="21"/>
      <c r="Z140" s="21"/>
      <c r="AA140" s="10" t="s">
        <v>52</v>
      </c>
      <c r="AC140" s="10" t="s">
        <v>52</v>
      </c>
      <c r="AE140" s="10" t="s">
        <v>52</v>
      </c>
      <c r="AG140" s="21"/>
      <c r="AH140" s="22"/>
      <c r="AI140" s="22"/>
      <c r="AJ140" s="22"/>
      <c r="AK140" s="22"/>
      <c r="AL140" s="22"/>
      <c r="AM140" s="22" t="s">
        <v>235</v>
      </c>
      <c r="AN140" s="24"/>
      <c r="AO140" s="22"/>
      <c r="AP140" s="24"/>
      <c r="AQ140" s="22"/>
      <c r="AR140" s="24"/>
      <c r="AS140" s="24"/>
      <c r="AT140" s="27"/>
      <c r="AV140" s="28"/>
      <c r="AW140" s="28"/>
    </row>
    <row r="141" spans="1:49">
      <c r="A141" s="17" t="s">
        <v>46</v>
      </c>
      <c r="B141" s="4" t="s">
        <v>236</v>
      </c>
      <c r="C141" s="4">
        <v>61</v>
      </c>
      <c r="D141" s="4" t="s">
        <v>54</v>
      </c>
      <c r="E141" s="30">
        <v>44587</v>
      </c>
      <c r="F141" s="4" t="s">
        <v>49</v>
      </c>
      <c r="G141" s="19" t="s">
        <v>57</v>
      </c>
      <c r="H141" s="19">
        <v>44587</v>
      </c>
      <c r="I141" s="32">
        <v>44762</v>
      </c>
      <c r="J141" s="31"/>
      <c r="K141" s="21"/>
      <c r="L141" s="21"/>
      <c r="M141" s="22"/>
      <c r="N141" s="21"/>
      <c r="O141" s="21" t="s">
        <v>172</v>
      </c>
      <c r="P141" s="23"/>
      <c r="Q141" s="24"/>
      <c r="R141" s="25"/>
      <c r="S141" s="21"/>
      <c r="T141" s="22"/>
      <c r="U141" s="22"/>
      <c r="V141" s="21"/>
      <c r="W141" s="21" t="s">
        <v>166</v>
      </c>
      <c r="X141" s="21" t="s">
        <v>166</v>
      </c>
      <c r="Y141" s="21" t="s">
        <v>166</v>
      </c>
      <c r="Z141" s="21" t="s">
        <v>166</v>
      </c>
      <c r="AA141" s="10" t="s">
        <v>52</v>
      </c>
      <c r="AC141" s="10" t="s">
        <v>52</v>
      </c>
      <c r="AE141" s="10" t="s">
        <v>52</v>
      </c>
      <c r="AG141" s="21"/>
      <c r="AH141" s="22"/>
      <c r="AI141" s="22"/>
      <c r="AJ141" s="22"/>
      <c r="AK141" s="22"/>
      <c r="AL141" s="22"/>
      <c r="AM141" s="22"/>
      <c r="AN141" s="24"/>
      <c r="AO141" s="22"/>
      <c r="AP141" s="24"/>
      <c r="AQ141" s="22"/>
      <c r="AR141" s="24"/>
      <c r="AS141" s="24"/>
      <c r="AT141" s="27"/>
      <c r="AV141" s="28"/>
      <c r="AW141" s="28"/>
    </row>
    <row r="142" spans="1:49">
      <c r="A142" s="17" t="s">
        <v>46</v>
      </c>
      <c r="B142" s="4" t="s">
        <v>237</v>
      </c>
      <c r="C142" s="4">
        <v>50</v>
      </c>
      <c r="D142" s="4" t="s">
        <v>48</v>
      </c>
      <c r="E142" s="33"/>
      <c r="F142" s="4" t="s">
        <v>49</v>
      </c>
      <c r="G142" s="19" t="s">
        <v>57</v>
      </c>
      <c r="H142" s="19">
        <v>45027</v>
      </c>
      <c r="I142" s="19"/>
      <c r="J142" s="34" t="str">
        <f t="shared" ref="J142:J205" si="9">IF(AND(H142&lt;&gt;"",I142&lt;&gt;""),I142-H142+1,"")</f>
        <v/>
      </c>
      <c r="K142" s="4"/>
      <c r="L142" s="4"/>
      <c r="M142" s="33"/>
      <c r="N142" s="4"/>
      <c r="O142" s="21" t="s">
        <v>172</v>
      </c>
      <c r="P142" s="35"/>
      <c r="Q142" s="36"/>
      <c r="R142" s="37" t="str">
        <f t="shared" ref="R142:R205" si="10">IF(AND(P142&lt;&gt;"",Q142&lt;&gt;""),P142/(Q142/100)^2,"")</f>
        <v/>
      </c>
      <c r="S142" s="4"/>
      <c r="T142" s="33"/>
      <c r="U142" s="33"/>
      <c r="V142" s="4"/>
      <c r="W142" s="21" t="s">
        <v>166</v>
      </c>
      <c r="X142" s="4"/>
      <c r="Y142" s="4"/>
      <c r="Z142" s="4"/>
      <c r="AG142" s="4"/>
      <c r="AH142" s="33"/>
      <c r="AI142" s="33"/>
      <c r="AJ142" s="33"/>
      <c r="AK142" s="33"/>
      <c r="AL142" s="33"/>
      <c r="AM142" s="29" t="s">
        <v>238</v>
      </c>
      <c r="AN142" s="36"/>
      <c r="AO142" s="33"/>
      <c r="AP142" s="36"/>
      <c r="AQ142" s="33"/>
      <c r="AR142" s="36"/>
      <c r="AS142" s="36"/>
      <c r="AT142" s="38"/>
    </row>
    <row r="143" spans="1:49">
      <c r="A143" s="17" t="s">
        <v>46</v>
      </c>
      <c r="B143" s="4" t="s">
        <v>239</v>
      </c>
      <c r="C143" s="4">
        <v>45</v>
      </c>
      <c r="D143" s="4" t="s">
        <v>54</v>
      </c>
      <c r="E143" s="33"/>
      <c r="F143" s="4" t="s">
        <v>49</v>
      </c>
      <c r="G143" s="19" t="s">
        <v>57</v>
      </c>
      <c r="H143" s="19">
        <v>45029</v>
      </c>
      <c r="I143" s="19">
        <v>45208</v>
      </c>
      <c r="J143" s="34">
        <f t="shared" si="9"/>
        <v>180</v>
      </c>
      <c r="K143" s="4"/>
      <c r="L143" s="4"/>
      <c r="M143" s="33"/>
      <c r="N143" s="4"/>
      <c r="O143" s="21" t="s">
        <v>172</v>
      </c>
      <c r="P143" s="35"/>
      <c r="Q143" s="36"/>
      <c r="R143" s="37" t="str">
        <f t="shared" si="10"/>
        <v/>
      </c>
      <c r="S143" s="4"/>
      <c r="T143" s="33"/>
      <c r="U143" s="33"/>
      <c r="V143" s="4"/>
      <c r="W143" s="21" t="s">
        <v>166</v>
      </c>
      <c r="X143" s="21" t="s">
        <v>166</v>
      </c>
      <c r="Y143" s="4"/>
      <c r="Z143" s="21" t="s">
        <v>166</v>
      </c>
      <c r="AA143" s="10" t="s">
        <v>52</v>
      </c>
      <c r="AC143" s="10" t="s">
        <v>52</v>
      </c>
      <c r="AE143" s="10" t="s">
        <v>52</v>
      </c>
      <c r="AG143" s="4"/>
      <c r="AH143" s="33"/>
      <c r="AI143" s="33"/>
      <c r="AJ143" s="33"/>
      <c r="AK143" s="33"/>
      <c r="AL143" s="33"/>
      <c r="AM143" s="33"/>
      <c r="AN143" s="36"/>
      <c r="AO143" s="33"/>
      <c r="AP143" s="36"/>
      <c r="AQ143" s="33"/>
      <c r="AR143" s="36"/>
      <c r="AS143" s="36"/>
      <c r="AT143" s="38"/>
    </row>
    <row r="144" spans="1:49">
      <c r="A144" s="17" t="s">
        <v>46</v>
      </c>
      <c r="B144" s="4" t="s">
        <v>240</v>
      </c>
      <c r="C144" s="4">
        <v>53</v>
      </c>
      <c r="D144" s="4" t="s">
        <v>48</v>
      </c>
      <c r="E144" s="33"/>
      <c r="F144" s="4" t="s">
        <v>49</v>
      </c>
      <c r="G144" s="19">
        <v>45225</v>
      </c>
      <c r="H144" s="19">
        <v>45033</v>
      </c>
      <c r="I144" s="19">
        <v>45308</v>
      </c>
      <c r="J144" s="34">
        <f t="shared" si="9"/>
        <v>276</v>
      </c>
      <c r="K144" s="4"/>
      <c r="L144" s="4"/>
      <c r="M144" s="33"/>
      <c r="N144" s="4"/>
      <c r="O144" s="21" t="s">
        <v>172</v>
      </c>
      <c r="P144" s="35"/>
      <c r="Q144" s="36"/>
      <c r="R144" s="37" t="str">
        <f t="shared" si="10"/>
        <v/>
      </c>
      <c r="S144" s="4"/>
      <c r="T144" s="33"/>
      <c r="U144" s="33"/>
      <c r="V144" s="4"/>
      <c r="W144" s="21" t="s">
        <v>166</v>
      </c>
      <c r="X144" s="21" t="s">
        <v>166</v>
      </c>
      <c r="Y144" s="21" t="s">
        <v>166</v>
      </c>
      <c r="Z144" s="21" t="s">
        <v>166</v>
      </c>
      <c r="AA144" s="10" t="s">
        <v>52</v>
      </c>
      <c r="AC144" s="10" t="s">
        <v>52</v>
      </c>
      <c r="AE144" s="10" t="s">
        <v>52</v>
      </c>
      <c r="AG144" s="4"/>
      <c r="AH144" s="33"/>
      <c r="AI144" s="33"/>
      <c r="AJ144" s="33"/>
      <c r="AK144" s="33"/>
      <c r="AL144" s="33"/>
      <c r="AM144" s="33"/>
      <c r="AN144" s="36"/>
      <c r="AO144" s="33"/>
      <c r="AP144" s="36"/>
      <c r="AQ144" s="33"/>
      <c r="AR144" s="36"/>
      <c r="AS144" s="36"/>
      <c r="AT144" s="38"/>
    </row>
    <row r="145" spans="1:46">
      <c r="A145" s="17" t="s">
        <v>46</v>
      </c>
      <c r="B145" s="4" t="s">
        <v>241</v>
      </c>
      <c r="C145" s="4">
        <v>39</v>
      </c>
      <c r="D145" s="4" t="s">
        <v>48</v>
      </c>
      <c r="E145" s="33"/>
      <c r="F145" s="4" t="s">
        <v>82</v>
      </c>
      <c r="G145" s="19" t="s">
        <v>57</v>
      </c>
      <c r="H145" s="19">
        <v>45034</v>
      </c>
      <c r="I145" s="19">
        <v>45313</v>
      </c>
      <c r="J145" s="34">
        <f t="shared" si="9"/>
        <v>280</v>
      </c>
      <c r="K145" s="4"/>
      <c r="L145" s="4"/>
      <c r="M145" s="33"/>
      <c r="N145" s="4"/>
      <c r="O145" s="21" t="s">
        <v>172</v>
      </c>
      <c r="P145" s="35"/>
      <c r="Q145" s="36"/>
      <c r="R145" s="37" t="str">
        <f t="shared" si="10"/>
        <v/>
      </c>
      <c r="S145" s="4"/>
      <c r="T145" s="33"/>
      <c r="U145" s="33"/>
      <c r="V145" s="4"/>
      <c r="W145" s="21" t="s">
        <v>166</v>
      </c>
      <c r="X145" s="21" t="s">
        <v>166</v>
      </c>
      <c r="Y145" s="21" t="s">
        <v>166</v>
      </c>
      <c r="Z145" s="4"/>
      <c r="AA145" s="10" t="s">
        <v>52</v>
      </c>
      <c r="AC145" s="10" t="s">
        <v>52</v>
      </c>
      <c r="AE145" s="10" t="s">
        <v>52</v>
      </c>
      <c r="AG145" s="4"/>
      <c r="AH145" s="33"/>
      <c r="AI145" s="33"/>
      <c r="AJ145" s="33"/>
      <c r="AK145" s="33"/>
      <c r="AL145" s="33"/>
      <c r="AM145" s="33"/>
      <c r="AN145" s="36"/>
      <c r="AO145" s="33"/>
      <c r="AP145" s="36"/>
      <c r="AQ145" s="33"/>
      <c r="AR145" s="36"/>
      <c r="AS145" s="36"/>
      <c r="AT145" s="38"/>
    </row>
    <row r="146" spans="1:46">
      <c r="A146" s="17" t="s">
        <v>46</v>
      </c>
      <c r="B146" s="4" t="s">
        <v>242</v>
      </c>
      <c r="C146" s="4">
        <v>40</v>
      </c>
      <c r="D146" s="4" t="s">
        <v>48</v>
      </c>
      <c r="E146" s="33"/>
      <c r="F146" s="4" t="s">
        <v>49</v>
      </c>
      <c r="G146" s="19" t="s">
        <v>57</v>
      </c>
      <c r="H146" s="19">
        <v>45039</v>
      </c>
      <c r="I146" s="19">
        <v>45221</v>
      </c>
      <c r="J146" s="34">
        <f t="shared" si="9"/>
        <v>183</v>
      </c>
      <c r="K146" s="4"/>
      <c r="L146" s="4"/>
      <c r="M146" s="33"/>
      <c r="N146" s="4"/>
      <c r="O146" s="21" t="s">
        <v>172</v>
      </c>
      <c r="P146" s="35"/>
      <c r="Q146" s="36"/>
      <c r="R146" s="37" t="str">
        <f t="shared" si="10"/>
        <v/>
      </c>
      <c r="S146" s="4"/>
      <c r="T146" s="33"/>
      <c r="U146" s="33"/>
      <c r="V146" s="4"/>
      <c r="W146" s="21" t="s">
        <v>166</v>
      </c>
      <c r="X146" s="21" t="s">
        <v>207</v>
      </c>
      <c r="Y146" s="21" t="s">
        <v>166</v>
      </c>
      <c r="Z146" s="21" t="s">
        <v>166</v>
      </c>
      <c r="AA146" s="10" t="s">
        <v>52</v>
      </c>
      <c r="AC146" s="10" t="s">
        <v>52</v>
      </c>
      <c r="AE146" s="10" t="s">
        <v>52</v>
      </c>
      <c r="AG146" s="4"/>
      <c r="AH146" s="33"/>
      <c r="AI146" s="33"/>
      <c r="AJ146" s="33"/>
      <c r="AK146" s="33"/>
      <c r="AL146" s="33"/>
      <c r="AM146" s="33"/>
      <c r="AN146" s="36"/>
      <c r="AO146" s="33"/>
      <c r="AP146" s="36"/>
      <c r="AQ146" s="33"/>
      <c r="AR146" s="36"/>
      <c r="AS146" s="36"/>
      <c r="AT146" s="38"/>
    </row>
    <row r="147" spans="1:46">
      <c r="A147" s="17" t="s">
        <v>46</v>
      </c>
      <c r="B147" s="4" t="s">
        <v>243</v>
      </c>
      <c r="C147" s="4">
        <v>32</v>
      </c>
      <c r="D147" s="4" t="s">
        <v>54</v>
      </c>
      <c r="E147" s="33"/>
      <c r="F147" s="4" t="s">
        <v>49</v>
      </c>
      <c r="G147" s="19" t="s">
        <v>57</v>
      </c>
      <c r="H147" s="19">
        <v>45044</v>
      </c>
      <c r="I147" s="19">
        <v>45229</v>
      </c>
      <c r="J147" s="34">
        <f t="shared" si="9"/>
        <v>186</v>
      </c>
      <c r="K147" s="4"/>
      <c r="L147" s="4"/>
      <c r="M147" s="33"/>
      <c r="N147" s="4"/>
      <c r="O147" s="21" t="s">
        <v>172</v>
      </c>
      <c r="P147" s="35"/>
      <c r="Q147" s="36"/>
      <c r="R147" s="37" t="str">
        <f t="shared" si="10"/>
        <v/>
      </c>
      <c r="S147" s="4"/>
      <c r="T147" s="33"/>
      <c r="U147" s="33"/>
      <c r="V147" s="4"/>
      <c r="W147" s="21" t="s">
        <v>166</v>
      </c>
      <c r="X147" s="21" t="s">
        <v>166</v>
      </c>
      <c r="Y147" s="4"/>
      <c r="Z147" s="4"/>
      <c r="AA147" s="10" t="s">
        <v>52</v>
      </c>
      <c r="AC147" s="10" t="s">
        <v>52</v>
      </c>
      <c r="AE147" s="10" t="s">
        <v>52</v>
      </c>
      <c r="AG147" s="4"/>
      <c r="AH147" s="33"/>
      <c r="AI147" s="33"/>
      <c r="AJ147" s="33"/>
      <c r="AK147" s="33"/>
      <c r="AL147" s="33"/>
      <c r="AM147" s="33"/>
      <c r="AN147" s="36"/>
      <c r="AO147" s="33"/>
      <c r="AP147" s="36"/>
      <c r="AQ147" s="33"/>
      <c r="AR147" s="36"/>
      <c r="AS147" s="36"/>
      <c r="AT147" s="38"/>
    </row>
    <row r="148" spans="1:46">
      <c r="A148" s="17" t="s">
        <v>46</v>
      </c>
      <c r="B148" s="4" t="s">
        <v>244</v>
      </c>
      <c r="C148" s="4">
        <v>44</v>
      </c>
      <c r="D148" s="4" t="s">
        <v>48</v>
      </c>
      <c r="E148" s="33"/>
      <c r="F148" s="4" t="s">
        <v>49</v>
      </c>
      <c r="G148" s="19">
        <v>45232</v>
      </c>
      <c r="H148" s="19">
        <v>45045</v>
      </c>
      <c r="I148" s="19">
        <v>45232</v>
      </c>
      <c r="J148" s="34">
        <f t="shared" si="9"/>
        <v>188</v>
      </c>
      <c r="K148" s="4"/>
      <c r="L148" s="4"/>
      <c r="M148" s="33"/>
      <c r="N148" s="4"/>
      <c r="O148" s="21" t="s">
        <v>172</v>
      </c>
      <c r="P148" s="35"/>
      <c r="Q148" s="36"/>
      <c r="R148" s="37" t="str">
        <f t="shared" si="10"/>
        <v/>
      </c>
      <c r="S148" s="4"/>
      <c r="T148" s="33"/>
      <c r="U148" s="33"/>
      <c r="V148" s="4"/>
      <c r="W148" s="21" t="s">
        <v>172</v>
      </c>
      <c r="X148" s="21" t="s">
        <v>166</v>
      </c>
      <c r="Y148" s="21" t="s">
        <v>166</v>
      </c>
      <c r="Z148" s="21" t="s">
        <v>166</v>
      </c>
      <c r="AA148" s="10" t="s">
        <v>52</v>
      </c>
      <c r="AC148" s="10" t="s">
        <v>52</v>
      </c>
      <c r="AE148" s="10" t="s">
        <v>52</v>
      </c>
      <c r="AG148" s="4"/>
      <c r="AH148" s="33"/>
      <c r="AI148" s="33"/>
      <c r="AJ148" s="33"/>
      <c r="AK148" s="33"/>
      <c r="AL148" s="33"/>
      <c r="AM148" s="33"/>
      <c r="AN148" s="36"/>
      <c r="AO148" s="33"/>
      <c r="AP148" s="36"/>
      <c r="AQ148" s="33"/>
      <c r="AR148" s="36"/>
      <c r="AS148" s="36"/>
      <c r="AT148" s="38"/>
    </row>
    <row r="149" spans="1:46">
      <c r="A149" s="17" t="s">
        <v>46</v>
      </c>
      <c r="B149" s="4" t="s">
        <v>245</v>
      </c>
      <c r="C149" s="4">
        <v>60</v>
      </c>
      <c r="D149" s="4" t="s">
        <v>48</v>
      </c>
      <c r="E149" s="33"/>
      <c r="F149" s="4" t="s">
        <v>56</v>
      </c>
      <c r="G149" s="19" t="s">
        <v>57</v>
      </c>
      <c r="H149" s="19">
        <v>45059</v>
      </c>
      <c r="I149" s="19">
        <v>45271</v>
      </c>
      <c r="J149" s="34">
        <f t="shared" si="9"/>
        <v>213</v>
      </c>
      <c r="K149" s="4"/>
      <c r="L149" s="4"/>
      <c r="M149" s="33"/>
      <c r="N149" s="4"/>
      <c r="O149" s="21" t="s">
        <v>172</v>
      </c>
      <c r="P149" s="35"/>
      <c r="Q149" s="36"/>
      <c r="R149" s="37" t="str">
        <f t="shared" si="10"/>
        <v/>
      </c>
      <c r="S149" s="4"/>
      <c r="T149" s="33"/>
      <c r="U149" s="33"/>
      <c r="V149" s="4"/>
      <c r="W149" s="21" t="s">
        <v>166</v>
      </c>
      <c r="X149" s="21" t="s">
        <v>166</v>
      </c>
      <c r="Y149" s="4"/>
      <c r="Z149" s="4"/>
      <c r="AG149" s="4"/>
      <c r="AH149" s="33"/>
      <c r="AI149" s="33"/>
      <c r="AJ149" s="33"/>
      <c r="AK149" s="33"/>
      <c r="AL149" s="33"/>
      <c r="AM149" s="29" t="s">
        <v>246</v>
      </c>
      <c r="AN149" s="36"/>
      <c r="AO149" s="33"/>
      <c r="AP149" s="36"/>
      <c r="AQ149" s="33"/>
      <c r="AR149" s="36"/>
      <c r="AS149" s="36"/>
      <c r="AT149" s="38"/>
    </row>
    <row r="150" spans="1:46">
      <c r="A150" s="17" t="s">
        <v>46</v>
      </c>
      <c r="B150" s="4" t="s">
        <v>247</v>
      </c>
      <c r="C150" s="4">
        <v>38</v>
      </c>
      <c r="D150" s="4" t="s">
        <v>48</v>
      </c>
      <c r="E150" s="33"/>
      <c r="F150" s="4" t="s">
        <v>82</v>
      </c>
      <c r="G150" s="19" t="s">
        <v>57</v>
      </c>
      <c r="H150" s="19">
        <v>45064</v>
      </c>
      <c r="I150" s="19"/>
      <c r="J150" s="34" t="str">
        <f t="shared" si="9"/>
        <v/>
      </c>
      <c r="K150" s="4"/>
      <c r="L150" s="4"/>
      <c r="M150" s="33"/>
      <c r="N150" s="4"/>
      <c r="O150" s="21" t="s">
        <v>172</v>
      </c>
      <c r="P150" s="35"/>
      <c r="Q150" s="36"/>
      <c r="R150" s="37" t="str">
        <f t="shared" si="10"/>
        <v/>
      </c>
      <c r="S150" s="4"/>
      <c r="T150" s="33"/>
      <c r="U150" s="33"/>
      <c r="V150" s="4"/>
      <c r="W150" s="4"/>
      <c r="X150" s="4"/>
      <c r="Y150" s="4"/>
      <c r="Z150" s="4"/>
      <c r="AG150" s="4"/>
      <c r="AH150" s="33"/>
      <c r="AI150" s="33"/>
      <c r="AJ150" s="33"/>
      <c r="AK150" s="33"/>
      <c r="AL150" s="33"/>
      <c r="AM150" s="29" t="s">
        <v>248</v>
      </c>
      <c r="AN150" s="36"/>
      <c r="AO150" s="33"/>
      <c r="AP150" s="36"/>
      <c r="AQ150" s="33"/>
      <c r="AR150" s="36"/>
      <c r="AS150" s="36"/>
      <c r="AT150" s="38"/>
    </row>
    <row r="151" spans="1:46">
      <c r="A151" s="17" t="s">
        <v>46</v>
      </c>
      <c r="B151" s="4" t="s">
        <v>249</v>
      </c>
      <c r="C151" s="4">
        <v>40</v>
      </c>
      <c r="D151" s="4" t="s">
        <v>54</v>
      </c>
      <c r="E151" s="33"/>
      <c r="F151" s="4" t="s">
        <v>49</v>
      </c>
      <c r="G151" s="19">
        <v>45257</v>
      </c>
      <c r="H151" s="19">
        <v>45073</v>
      </c>
      <c r="I151" s="19">
        <v>45257</v>
      </c>
      <c r="J151" s="34">
        <f t="shared" si="9"/>
        <v>185</v>
      </c>
      <c r="K151" s="4"/>
      <c r="L151" s="4"/>
      <c r="M151" s="33"/>
      <c r="N151" s="4"/>
      <c r="O151" s="21" t="s">
        <v>166</v>
      </c>
      <c r="P151" s="35"/>
      <c r="Q151" s="36"/>
      <c r="R151" s="37" t="str">
        <f t="shared" si="10"/>
        <v/>
      </c>
      <c r="S151" s="4"/>
      <c r="T151" s="33"/>
      <c r="U151" s="33"/>
      <c r="V151" s="4"/>
      <c r="W151" s="21" t="s">
        <v>166</v>
      </c>
      <c r="X151" s="21" t="s">
        <v>166</v>
      </c>
      <c r="Y151" s="21" t="s">
        <v>166</v>
      </c>
      <c r="Z151" s="21" t="s">
        <v>189</v>
      </c>
      <c r="AA151" s="10" t="s">
        <v>52</v>
      </c>
      <c r="AC151" s="10" t="s">
        <v>52</v>
      </c>
      <c r="AE151" s="10" t="s">
        <v>52</v>
      </c>
      <c r="AG151" s="4"/>
      <c r="AH151" s="33"/>
      <c r="AI151" s="33"/>
      <c r="AJ151" s="33"/>
      <c r="AK151" s="33"/>
      <c r="AL151" s="33"/>
      <c r="AM151" s="11"/>
      <c r="AN151" s="36"/>
      <c r="AO151" s="33"/>
      <c r="AP151" s="36"/>
      <c r="AQ151" s="33"/>
      <c r="AR151" s="36"/>
      <c r="AS151" s="36"/>
      <c r="AT151" s="38"/>
    </row>
    <row r="152" spans="1:46">
      <c r="A152" s="17" t="s">
        <v>46</v>
      </c>
      <c r="B152" s="4" t="s">
        <v>250</v>
      </c>
      <c r="C152" s="4">
        <v>36</v>
      </c>
      <c r="D152" s="4" t="s">
        <v>54</v>
      </c>
      <c r="E152" s="33"/>
      <c r="F152" s="4" t="s">
        <v>49</v>
      </c>
      <c r="G152" s="19" t="s">
        <v>57</v>
      </c>
      <c r="H152" s="19">
        <v>45075</v>
      </c>
      <c r="I152" s="19">
        <v>45260</v>
      </c>
      <c r="J152" s="34">
        <f t="shared" si="9"/>
        <v>186</v>
      </c>
      <c r="K152" s="4"/>
      <c r="L152" s="4"/>
      <c r="M152" s="33"/>
      <c r="N152" s="4"/>
      <c r="O152" s="21" t="s">
        <v>166</v>
      </c>
      <c r="P152" s="35"/>
      <c r="Q152" s="36"/>
      <c r="R152" s="37" t="str">
        <f t="shared" si="10"/>
        <v/>
      </c>
      <c r="S152" s="4"/>
      <c r="T152" s="33"/>
      <c r="U152" s="33"/>
      <c r="V152" s="4"/>
      <c r="W152" s="21" t="s">
        <v>166</v>
      </c>
      <c r="X152" s="21" t="s">
        <v>166</v>
      </c>
      <c r="Y152" s="4"/>
      <c r="Z152" s="4"/>
      <c r="AA152" s="10" t="s">
        <v>52</v>
      </c>
      <c r="AC152" s="10" t="s">
        <v>52</v>
      </c>
      <c r="AE152" s="10" t="s">
        <v>52</v>
      </c>
      <c r="AG152" s="4"/>
      <c r="AH152" s="33"/>
      <c r="AI152" s="33"/>
      <c r="AJ152" s="33"/>
      <c r="AK152" s="33"/>
      <c r="AL152" s="33"/>
      <c r="AM152" s="11"/>
      <c r="AN152" s="36"/>
      <c r="AO152" s="33"/>
      <c r="AP152" s="36"/>
      <c r="AQ152" s="33"/>
      <c r="AR152" s="36"/>
      <c r="AS152" s="36"/>
      <c r="AT152" s="38"/>
    </row>
    <row r="153" spans="1:46">
      <c r="A153" s="17" t="s">
        <v>46</v>
      </c>
      <c r="B153" s="4" t="s">
        <v>251</v>
      </c>
      <c r="C153" s="4">
        <v>30</v>
      </c>
      <c r="D153" s="4" t="s">
        <v>48</v>
      </c>
      <c r="E153" s="33"/>
      <c r="F153" s="4" t="s">
        <v>49</v>
      </c>
      <c r="G153" s="19">
        <v>45221</v>
      </c>
      <c r="H153" s="19">
        <v>45076</v>
      </c>
      <c r="I153" s="19">
        <v>45257</v>
      </c>
      <c r="J153" s="34">
        <f t="shared" si="9"/>
        <v>182</v>
      </c>
      <c r="K153" s="4"/>
      <c r="L153" s="4"/>
      <c r="M153" s="33"/>
      <c r="N153" s="4"/>
      <c r="O153" s="21" t="s">
        <v>172</v>
      </c>
      <c r="P153" s="35"/>
      <c r="Q153" s="36"/>
      <c r="R153" s="37" t="str">
        <f t="shared" si="10"/>
        <v/>
      </c>
      <c r="S153" s="4"/>
      <c r="T153" s="33"/>
      <c r="U153" s="33"/>
      <c r="V153" s="4"/>
      <c r="W153" s="21" t="s">
        <v>166</v>
      </c>
      <c r="X153" s="21" t="s">
        <v>166</v>
      </c>
      <c r="Y153" s="4"/>
      <c r="Z153" s="4"/>
      <c r="AA153" s="10" t="s">
        <v>52</v>
      </c>
      <c r="AC153" s="10" t="s">
        <v>52</v>
      </c>
      <c r="AE153" s="10" t="s">
        <v>52</v>
      </c>
      <c r="AG153" s="4"/>
      <c r="AH153" s="33"/>
      <c r="AI153" s="33"/>
      <c r="AJ153" s="33"/>
      <c r="AK153" s="33"/>
      <c r="AL153" s="33"/>
      <c r="AM153" s="11"/>
      <c r="AN153" s="36"/>
      <c r="AO153" s="33"/>
      <c r="AP153" s="36"/>
      <c r="AQ153" s="33"/>
      <c r="AR153" s="36"/>
      <c r="AS153" s="36"/>
      <c r="AT153" s="38"/>
    </row>
    <row r="154" spans="1:46">
      <c r="A154" s="17" t="s">
        <v>46</v>
      </c>
      <c r="B154" s="4" t="s">
        <v>252</v>
      </c>
      <c r="C154" s="4"/>
      <c r="D154" s="4" t="s">
        <v>48</v>
      </c>
      <c r="E154" s="33"/>
      <c r="F154" s="4" t="s">
        <v>56</v>
      </c>
      <c r="G154" s="19"/>
      <c r="H154" s="19">
        <v>45084</v>
      </c>
      <c r="I154" s="19"/>
      <c r="J154" s="34" t="str">
        <f t="shared" si="9"/>
        <v/>
      </c>
      <c r="K154" s="4"/>
      <c r="L154" s="4"/>
      <c r="M154" s="33"/>
      <c r="N154" s="4"/>
      <c r="O154" s="4"/>
      <c r="P154" s="35"/>
      <c r="Q154" s="36"/>
      <c r="R154" s="37" t="str">
        <f t="shared" si="10"/>
        <v/>
      </c>
      <c r="S154" s="4"/>
      <c r="T154" s="33"/>
      <c r="U154" s="33"/>
      <c r="V154" s="4"/>
      <c r="W154" s="4"/>
      <c r="X154" s="4"/>
      <c r="Y154" s="4"/>
      <c r="Z154" s="4"/>
      <c r="AG154" s="4"/>
      <c r="AH154" s="33"/>
      <c r="AI154" s="33"/>
      <c r="AJ154" s="33"/>
      <c r="AK154" s="33"/>
      <c r="AL154" s="33"/>
      <c r="AM154" s="29" t="s">
        <v>96</v>
      </c>
      <c r="AN154" s="36"/>
      <c r="AO154" s="33"/>
      <c r="AP154" s="36"/>
      <c r="AQ154" s="33"/>
      <c r="AR154" s="36"/>
      <c r="AS154" s="36"/>
      <c r="AT154" s="38"/>
    </row>
    <row r="155" spans="1:46">
      <c r="A155" s="17" t="s">
        <v>46</v>
      </c>
      <c r="B155" s="4" t="s">
        <v>253</v>
      </c>
      <c r="C155" s="4">
        <v>39</v>
      </c>
      <c r="D155" s="4" t="s">
        <v>54</v>
      </c>
      <c r="E155" s="33"/>
      <c r="F155" s="4" t="s">
        <v>49</v>
      </c>
      <c r="G155" s="19" t="s">
        <v>57</v>
      </c>
      <c r="H155" s="19">
        <v>45085</v>
      </c>
      <c r="I155" s="19">
        <v>45267</v>
      </c>
      <c r="J155" s="34">
        <f t="shared" si="9"/>
        <v>183</v>
      </c>
      <c r="K155" s="4"/>
      <c r="L155" s="4"/>
      <c r="M155" s="33"/>
      <c r="N155" s="4"/>
      <c r="O155" s="21" t="s">
        <v>172</v>
      </c>
      <c r="P155" s="35"/>
      <c r="Q155" s="36"/>
      <c r="R155" s="37" t="str">
        <f t="shared" si="10"/>
        <v/>
      </c>
      <c r="S155" s="4"/>
      <c r="T155" s="33"/>
      <c r="U155" s="33"/>
      <c r="V155" s="4"/>
      <c r="W155" s="21" t="s">
        <v>172</v>
      </c>
      <c r="X155" s="21" t="s">
        <v>166</v>
      </c>
      <c r="Y155" s="4"/>
      <c r="Z155" s="21" t="s">
        <v>166</v>
      </c>
      <c r="AA155" s="10" t="s">
        <v>52</v>
      </c>
      <c r="AC155" s="10" t="s">
        <v>52</v>
      </c>
      <c r="AE155" s="10" t="s">
        <v>52</v>
      </c>
      <c r="AG155" s="4"/>
      <c r="AH155" s="33"/>
      <c r="AI155" s="33"/>
      <c r="AJ155" s="33"/>
      <c r="AK155" s="33"/>
      <c r="AL155" s="33"/>
      <c r="AM155" s="11"/>
      <c r="AN155" s="36"/>
      <c r="AO155" s="33"/>
      <c r="AP155" s="36"/>
      <c r="AQ155" s="33"/>
      <c r="AR155" s="36"/>
      <c r="AS155" s="36"/>
      <c r="AT155" s="38"/>
    </row>
    <row r="156" spans="1:46">
      <c r="A156" s="17" t="s">
        <v>46</v>
      </c>
      <c r="B156" s="4" t="s">
        <v>254</v>
      </c>
      <c r="C156" s="4">
        <v>44</v>
      </c>
      <c r="D156" s="4" t="s">
        <v>54</v>
      </c>
      <c r="E156" s="33"/>
      <c r="F156" s="4" t="s">
        <v>49</v>
      </c>
      <c r="G156" s="19">
        <v>45257</v>
      </c>
      <c r="H156" s="19">
        <v>45086</v>
      </c>
      <c r="I156" s="19">
        <v>45257</v>
      </c>
      <c r="J156" s="34">
        <f t="shared" si="9"/>
        <v>172</v>
      </c>
      <c r="K156" s="4"/>
      <c r="L156" s="4"/>
      <c r="M156" s="33"/>
      <c r="N156" s="4"/>
      <c r="O156" s="21" t="s">
        <v>172</v>
      </c>
      <c r="P156" s="35"/>
      <c r="Q156" s="36"/>
      <c r="R156" s="37" t="str">
        <f t="shared" si="10"/>
        <v/>
      </c>
      <c r="S156" s="4"/>
      <c r="T156" s="33"/>
      <c r="U156" s="33"/>
      <c r="V156" s="4"/>
      <c r="W156" s="21" t="s">
        <v>166</v>
      </c>
      <c r="X156" s="21" t="s">
        <v>166</v>
      </c>
      <c r="Y156" s="4"/>
      <c r="Z156" s="21" t="s">
        <v>166</v>
      </c>
      <c r="AA156" s="10" t="s">
        <v>52</v>
      </c>
      <c r="AC156" s="10" t="s">
        <v>52</v>
      </c>
      <c r="AE156" s="10" t="s">
        <v>52</v>
      </c>
      <c r="AG156" s="4"/>
      <c r="AH156" s="33"/>
      <c r="AI156" s="33"/>
      <c r="AJ156" s="33"/>
      <c r="AK156" s="33"/>
      <c r="AL156" s="33"/>
      <c r="AM156" s="11"/>
      <c r="AN156" s="36"/>
      <c r="AO156" s="33"/>
      <c r="AP156" s="36"/>
      <c r="AQ156" s="33"/>
      <c r="AR156" s="36"/>
      <c r="AS156" s="36"/>
      <c r="AT156" s="38"/>
    </row>
    <row r="157" spans="1:46">
      <c r="A157" s="17" t="s">
        <v>46</v>
      </c>
      <c r="B157" s="4" t="s">
        <v>255</v>
      </c>
      <c r="C157" s="4">
        <v>36</v>
      </c>
      <c r="D157" s="4" t="s">
        <v>48</v>
      </c>
      <c r="E157" s="33"/>
      <c r="F157" s="4" t="s">
        <v>49</v>
      </c>
      <c r="G157" s="19">
        <v>45271</v>
      </c>
      <c r="H157" s="19">
        <v>45086</v>
      </c>
      <c r="I157" s="19">
        <v>45372</v>
      </c>
      <c r="J157" s="34">
        <f t="shared" si="9"/>
        <v>287</v>
      </c>
      <c r="K157" s="4"/>
      <c r="L157" s="4"/>
      <c r="M157" s="33"/>
      <c r="N157" s="4"/>
      <c r="O157" s="21" t="s">
        <v>166</v>
      </c>
      <c r="P157" s="35"/>
      <c r="Q157" s="36"/>
      <c r="R157" s="37" t="str">
        <f t="shared" si="10"/>
        <v/>
      </c>
      <c r="S157" s="4"/>
      <c r="T157" s="33"/>
      <c r="U157" s="33"/>
      <c r="V157" s="4"/>
      <c r="W157" s="21" t="s">
        <v>166</v>
      </c>
      <c r="X157" s="21" t="s">
        <v>166</v>
      </c>
      <c r="Y157" s="21" t="s">
        <v>166</v>
      </c>
      <c r="Z157" s="21" t="s">
        <v>166</v>
      </c>
      <c r="AA157" s="10" t="s">
        <v>52</v>
      </c>
      <c r="AC157" s="10" t="s">
        <v>52</v>
      </c>
      <c r="AE157" s="10" t="s">
        <v>52</v>
      </c>
      <c r="AG157" s="4"/>
      <c r="AH157" s="33"/>
      <c r="AI157" s="33"/>
      <c r="AJ157" s="33"/>
      <c r="AK157" s="33"/>
      <c r="AL157" s="33"/>
      <c r="AM157" s="11"/>
      <c r="AN157" s="36"/>
      <c r="AO157" s="33"/>
      <c r="AP157" s="36"/>
      <c r="AQ157" s="33"/>
      <c r="AR157" s="36"/>
      <c r="AS157" s="36"/>
      <c r="AT157" s="38"/>
    </row>
    <row r="158" spans="1:46">
      <c r="A158" s="17" t="s">
        <v>46</v>
      </c>
      <c r="B158" s="4" t="s">
        <v>256</v>
      </c>
      <c r="C158" s="4">
        <v>44</v>
      </c>
      <c r="D158" s="4" t="s">
        <v>48</v>
      </c>
      <c r="E158" s="33"/>
      <c r="F158" s="4" t="s">
        <v>49</v>
      </c>
      <c r="G158" s="19">
        <v>45285</v>
      </c>
      <c r="H158" s="19">
        <v>45111</v>
      </c>
      <c r="I158" s="19">
        <v>45387</v>
      </c>
      <c r="J158" s="34">
        <f t="shared" si="9"/>
        <v>277</v>
      </c>
      <c r="K158" s="4"/>
      <c r="L158" s="4"/>
      <c r="M158" s="33"/>
      <c r="N158" s="4"/>
      <c r="O158" s="21" t="s">
        <v>172</v>
      </c>
      <c r="P158" s="35"/>
      <c r="Q158" s="36"/>
      <c r="R158" s="37" t="str">
        <f t="shared" si="10"/>
        <v/>
      </c>
      <c r="S158" s="4"/>
      <c r="T158" s="33"/>
      <c r="U158" s="33"/>
      <c r="V158" s="4"/>
      <c r="W158" s="21" t="s">
        <v>166</v>
      </c>
      <c r="X158" s="21" t="s">
        <v>166</v>
      </c>
      <c r="Y158" s="21" t="s">
        <v>166</v>
      </c>
      <c r="Z158" s="4"/>
      <c r="AA158" s="10" t="s">
        <v>52</v>
      </c>
      <c r="AC158" s="10" t="s">
        <v>52</v>
      </c>
      <c r="AE158" s="10" t="s">
        <v>52</v>
      </c>
      <c r="AG158" s="4"/>
      <c r="AH158" s="33"/>
      <c r="AI158" s="33"/>
      <c r="AJ158" s="33"/>
      <c r="AK158" s="33"/>
      <c r="AL158" s="33"/>
      <c r="AM158" s="11"/>
      <c r="AN158" s="36"/>
      <c r="AO158" s="33"/>
      <c r="AP158" s="36"/>
      <c r="AQ158" s="33"/>
      <c r="AR158" s="36"/>
      <c r="AS158" s="36"/>
      <c r="AT158" s="38"/>
    </row>
    <row r="159" spans="1:46">
      <c r="A159" s="17" t="s">
        <v>46</v>
      </c>
      <c r="B159" s="4" t="s">
        <v>257</v>
      </c>
      <c r="C159" s="4">
        <v>31</v>
      </c>
      <c r="D159" s="4" t="s">
        <v>48</v>
      </c>
      <c r="E159" s="33"/>
      <c r="F159" s="4" t="s">
        <v>68</v>
      </c>
      <c r="G159" s="19" t="s">
        <v>57</v>
      </c>
      <c r="H159" s="19">
        <v>45113</v>
      </c>
      <c r="I159" s="19">
        <v>45295</v>
      </c>
      <c r="J159" s="34">
        <f t="shared" si="9"/>
        <v>183</v>
      </c>
      <c r="K159" s="4"/>
      <c r="L159" s="4"/>
      <c r="M159" s="33"/>
      <c r="N159" s="4"/>
      <c r="O159" s="21" t="s">
        <v>166</v>
      </c>
      <c r="P159" s="35"/>
      <c r="Q159" s="36"/>
      <c r="R159" s="37" t="str">
        <f t="shared" si="10"/>
        <v/>
      </c>
      <c r="S159" s="4"/>
      <c r="T159" s="33"/>
      <c r="U159" s="33"/>
      <c r="V159" s="4"/>
      <c r="W159" s="21" t="s">
        <v>166</v>
      </c>
      <c r="X159" s="21" t="s">
        <v>166</v>
      </c>
      <c r="Y159" s="4"/>
      <c r="Z159" s="4"/>
      <c r="AA159" s="10" t="s">
        <v>108</v>
      </c>
      <c r="AB159" s="10" t="s">
        <v>123</v>
      </c>
      <c r="AC159" s="10" t="s">
        <v>108</v>
      </c>
      <c r="AD159" s="10" t="s">
        <v>123</v>
      </c>
      <c r="AE159" s="10" t="s">
        <v>108</v>
      </c>
      <c r="AF159" s="10" t="s">
        <v>123</v>
      </c>
      <c r="AG159" s="4"/>
      <c r="AH159" s="33"/>
      <c r="AI159" s="33"/>
      <c r="AJ159" s="33"/>
      <c r="AK159" s="33"/>
      <c r="AL159" s="33"/>
      <c r="AM159" s="11"/>
      <c r="AN159" s="36"/>
      <c r="AO159" s="33"/>
      <c r="AP159" s="36"/>
      <c r="AQ159" s="33"/>
      <c r="AR159" s="36"/>
      <c r="AS159" s="36"/>
      <c r="AT159" s="38"/>
    </row>
    <row r="160" spans="1:46">
      <c r="A160" s="17" t="s">
        <v>46</v>
      </c>
      <c r="B160" s="4" t="s">
        <v>258</v>
      </c>
      <c r="C160" s="4">
        <v>43</v>
      </c>
      <c r="D160" s="4" t="s">
        <v>54</v>
      </c>
      <c r="E160" s="33"/>
      <c r="F160" s="4" t="s">
        <v>49</v>
      </c>
      <c r="G160" s="19" t="s">
        <v>57</v>
      </c>
      <c r="H160" s="19">
        <v>45125</v>
      </c>
      <c r="I160" s="19">
        <v>45390</v>
      </c>
      <c r="J160" s="34">
        <f t="shared" si="9"/>
        <v>266</v>
      </c>
      <c r="K160" s="4"/>
      <c r="L160" s="4"/>
      <c r="M160" s="33"/>
      <c r="N160" s="4"/>
      <c r="O160" s="21" t="s">
        <v>172</v>
      </c>
      <c r="P160" s="35"/>
      <c r="Q160" s="36"/>
      <c r="R160" s="37" t="str">
        <f t="shared" si="10"/>
        <v/>
      </c>
      <c r="S160" s="4"/>
      <c r="T160" s="33"/>
      <c r="U160" s="33"/>
      <c r="V160" s="4"/>
      <c r="W160" s="21" t="s">
        <v>166</v>
      </c>
      <c r="X160" s="21" t="s">
        <v>166</v>
      </c>
      <c r="Y160" s="21" t="s">
        <v>166</v>
      </c>
      <c r="Z160" s="21" t="s">
        <v>166</v>
      </c>
      <c r="AA160" s="10" t="s">
        <v>52</v>
      </c>
      <c r="AC160" s="10" t="s">
        <v>52</v>
      </c>
      <c r="AE160" s="10" t="s">
        <v>52</v>
      </c>
      <c r="AG160" s="4"/>
      <c r="AH160" s="33"/>
      <c r="AI160" s="33"/>
      <c r="AJ160" s="33"/>
      <c r="AK160" s="33"/>
      <c r="AL160" s="33"/>
      <c r="AM160" s="11"/>
      <c r="AN160" s="36"/>
      <c r="AO160" s="33"/>
      <c r="AP160" s="36"/>
      <c r="AQ160" s="33"/>
      <c r="AR160" s="36"/>
      <c r="AS160" s="36"/>
      <c r="AT160" s="38"/>
    </row>
    <row r="161" spans="1:46">
      <c r="A161" s="17" t="s">
        <v>46</v>
      </c>
      <c r="B161" s="4" t="s">
        <v>259</v>
      </c>
      <c r="C161" s="4">
        <v>37</v>
      </c>
      <c r="D161" s="4" t="s">
        <v>48</v>
      </c>
      <c r="E161" s="33"/>
      <c r="F161" s="4" t="s">
        <v>49</v>
      </c>
      <c r="G161" s="19">
        <v>45293</v>
      </c>
      <c r="H161" s="19">
        <v>45127</v>
      </c>
      <c r="I161" s="19">
        <v>45344</v>
      </c>
      <c r="J161" s="34">
        <f t="shared" si="9"/>
        <v>218</v>
      </c>
      <c r="K161" s="4"/>
      <c r="L161" s="4"/>
      <c r="M161" s="33"/>
      <c r="N161" s="4"/>
      <c r="O161" s="21" t="s">
        <v>172</v>
      </c>
      <c r="P161" s="35"/>
      <c r="Q161" s="36"/>
      <c r="R161" s="37" t="str">
        <f t="shared" si="10"/>
        <v/>
      </c>
      <c r="S161" s="4"/>
      <c r="T161" s="33"/>
      <c r="U161" s="33"/>
      <c r="V161" s="4"/>
      <c r="W161" s="21" t="s">
        <v>166</v>
      </c>
      <c r="X161" s="21" t="s">
        <v>166</v>
      </c>
      <c r="Y161" s="21" t="s">
        <v>166</v>
      </c>
      <c r="Z161" s="21" t="s">
        <v>166</v>
      </c>
      <c r="AA161" s="10" t="s">
        <v>52</v>
      </c>
      <c r="AC161" s="10" t="s">
        <v>52</v>
      </c>
      <c r="AE161" s="10" t="s">
        <v>52</v>
      </c>
      <c r="AG161" s="4"/>
      <c r="AH161" s="33"/>
      <c r="AI161" s="33"/>
      <c r="AJ161" s="33"/>
      <c r="AK161" s="33"/>
      <c r="AL161" s="33"/>
      <c r="AM161" s="11"/>
      <c r="AN161" s="36"/>
      <c r="AO161" s="33"/>
      <c r="AP161" s="36"/>
      <c r="AQ161" s="33"/>
      <c r="AR161" s="36"/>
      <c r="AS161" s="36"/>
      <c r="AT161" s="38"/>
    </row>
    <row r="162" spans="1:46">
      <c r="A162" s="17" t="s">
        <v>46</v>
      </c>
      <c r="B162" s="4" t="s">
        <v>260</v>
      </c>
      <c r="C162" s="21">
        <v>47</v>
      </c>
      <c r="D162" s="21" t="s">
        <v>48</v>
      </c>
      <c r="E162" s="33"/>
      <c r="F162" s="4" t="s">
        <v>56</v>
      </c>
      <c r="G162" s="19" t="s">
        <v>57</v>
      </c>
      <c r="H162" s="19">
        <v>45117</v>
      </c>
      <c r="I162" s="19">
        <v>45342</v>
      </c>
      <c r="J162" s="34">
        <f t="shared" si="9"/>
        <v>226</v>
      </c>
      <c r="K162" s="4"/>
      <c r="L162" s="4"/>
      <c r="M162" s="33"/>
      <c r="N162" s="4"/>
      <c r="O162" s="21" t="s">
        <v>172</v>
      </c>
      <c r="P162" s="35"/>
      <c r="Q162" s="36"/>
      <c r="R162" s="37" t="str">
        <f t="shared" si="10"/>
        <v/>
      </c>
      <c r="S162" s="4"/>
      <c r="T162" s="33"/>
      <c r="U162" s="33"/>
      <c r="V162" s="4"/>
      <c r="W162" s="21" t="s">
        <v>166</v>
      </c>
      <c r="X162" s="21" t="s">
        <v>166</v>
      </c>
      <c r="Y162" s="4"/>
      <c r="Z162" s="4"/>
      <c r="AA162" s="10" t="s">
        <v>108</v>
      </c>
      <c r="AB162" s="10" t="s">
        <v>123</v>
      </c>
      <c r="AC162" s="10" t="s">
        <v>108</v>
      </c>
      <c r="AD162" s="10" t="s">
        <v>123</v>
      </c>
      <c r="AE162" s="10" t="s">
        <v>108</v>
      </c>
      <c r="AF162" s="10" t="s">
        <v>123</v>
      </c>
      <c r="AG162" s="4"/>
      <c r="AH162" s="33"/>
      <c r="AI162" s="33"/>
      <c r="AJ162" s="33"/>
      <c r="AK162" s="33"/>
      <c r="AL162" s="33"/>
      <c r="AM162" s="11"/>
      <c r="AN162" s="36"/>
      <c r="AO162" s="33"/>
      <c r="AP162" s="36"/>
      <c r="AQ162" s="33"/>
      <c r="AR162" s="36"/>
      <c r="AS162" s="36"/>
      <c r="AT162" s="38"/>
    </row>
    <row r="163" spans="1:46">
      <c r="A163" s="17" t="s">
        <v>46</v>
      </c>
      <c r="B163" s="4" t="s">
        <v>261</v>
      </c>
      <c r="C163" s="4">
        <v>47</v>
      </c>
      <c r="D163" s="4" t="s">
        <v>54</v>
      </c>
      <c r="E163" s="33"/>
      <c r="F163" s="4" t="s">
        <v>49</v>
      </c>
      <c r="G163" s="19">
        <v>45293</v>
      </c>
      <c r="H163" s="19">
        <v>45132</v>
      </c>
      <c r="I163" s="19">
        <v>45414</v>
      </c>
      <c r="J163" s="34">
        <f t="shared" si="9"/>
        <v>283</v>
      </c>
      <c r="K163" s="4"/>
      <c r="L163" s="4"/>
      <c r="M163" s="33"/>
      <c r="N163" s="4"/>
      <c r="O163" s="21" t="s">
        <v>172</v>
      </c>
      <c r="P163" s="35"/>
      <c r="Q163" s="36"/>
      <c r="R163" s="37" t="str">
        <f t="shared" si="10"/>
        <v/>
      </c>
      <c r="S163" s="4"/>
      <c r="T163" s="33"/>
      <c r="U163" s="33"/>
      <c r="V163" s="4"/>
      <c r="W163" s="21" t="s">
        <v>166</v>
      </c>
      <c r="X163" s="21" t="s">
        <v>166</v>
      </c>
      <c r="Y163" s="4"/>
      <c r="Z163" s="4"/>
      <c r="AA163" s="10" t="s">
        <v>52</v>
      </c>
      <c r="AG163" s="4"/>
      <c r="AH163" s="33"/>
      <c r="AI163" s="33"/>
      <c r="AJ163" s="33"/>
      <c r="AK163" s="33"/>
      <c r="AL163" s="33"/>
      <c r="AM163" s="29" t="s">
        <v>262</v>
      </c>
      <c r="AN163" s="36"/>
      <c r="AO163" s="33"/>
      <c r="AP163" s="36"/>
      <c r="AQ163" s="33"/>
      <c r="AR163" s="36"/>
      <c r="AS163" s="36"/>
      <c r="AT163" s="38"/>
    </row>
    <row r="164" spans="1:46">
      <c r="A164" s="17" t="s">
        <v>46</v>
      </c>
      <c r="B164" s="4" t="s">
        <v>263</v>
      </c>
      <c r="C164" s="4">
        <v>58</v>
      </c>
      <c r="D164" s="4" t="s">
        <v>48</v>
      </c>
      <c r="E164" s="33"/>
      <c r="F164" s="4" t="s">
        <v>56</v>
      </c>
      <c r="G164" s="19" t="s">
        <v>57</v>
      </c>
      <c r="H164" s="19">
        <v>45136</v>
      </c>
      <c r="I164" s="19">
        <v>45320</v>
      </c>
      <c r="J164" s="34">
        <f t="shared" si="9"/>
        <v>185</v>
      </c>
      <c r="K164" s="4"/>
      <c r="L164" s="4"/>
      <c r="M164" s="33"/>
      <c r="N164" s="4"/>
      <c r="O164" s="21" t="s">
        <v>166</v>
      </c>
      <c r="P164" s="35"/>
      <c r="Q164" s="36"/>
      <c r="R164" s="37" t="str">
        <f t="shared" si="10"/>
        <v/>
      </c>
      <c r="S164" s="4"/>
      <c r="T164" s="33"/>
      <c r="U164" s="33"/>
      <c r="V164" s="4"/>
      <c r="W164" s="21" t="s">
        <v>166</v>
      </c>
      <c r="X164" s="21" t="s">
        <v>166</v>
      </c>
      <c r="Y164" s="21" t="s">
        <v>166</v>
      </c>
      <c r="Z164" s="21" t="s">
        <v>166</v>
      </c>
      <c r="AA164" s="10" t="s">
        <v>52</v>
      </c>
      <c r="AC164" s="10" t="s">
        <v>52</v>
      </c>
      <c r="AE164" s="10" t="s">
        <v>52</v>
      </c>
      <c r="AG164" s="4"/>
      <c r="AH164" s="33"/>
      <c r="AI164" s="33"/>
      <c r="AJ164" s="33"/>
      <c r="AK164" s="33"/>
      <c r="AL164" s="33"/>
      <c r="AM164" s="11"/>
      <c r="AN164" s="36"/>
      <c r="AO164" s="33"/>
      <c r="AP164" s="36"/>
      <c r="AQ164" s="33"/>
      <c r="AR164" s="36"/>
      <c r="AS164" s="36"/>
      <c r="AT164" s="38"/>
    </row>
    <row r="165" spans="1:46">
      <c r="A165" s="17" t="s">
        <v>46</v>
      </c>
      <c r="B165" s="4" t="s">
        <v>264</v>
      </c>
      <c r="C165" s="4">
        <v>36</v>
      </c>
      <c r="D165" s="4" t="s">
        <v>48</v>
      </c>
      <c r="E165" s="33"/>
      <c r="F165" s="4" t="s">
        <v>49</v>
      </c>
      <c r="G165" s="19" t="s">
        <v>57</v>
      </c>
      <c r="H165" s="19">
        <v>45136</v>
      </c>
      <c r="I165" s="19">
        <v>45320</v>
      </c>
      <c r="J165" s="34">
        <f t="shared" si="9"/>
        <v>185</v>
      </c>
      <c r="K165" s="4"/>
      <c r="L165" s="4"/>
      <c r="M165" s="33"/>
      <c r="N165" s="4"/>
      <c r="O165" s="21" t="s">
        <v>172</v>
      </c>
      <c r="P165" s="35"/>
      <c r="Q165" s="36"/>
      <c r="R165" s="37" t="str">
        <f t="shared" si="10"/>
        <v/>
      </c>
      <c r="S165" s="4"/>
      <c r="T165" s="33"/>
      <c r="U165" s="33"/>
      <c r="V165" s="4"/>
      <c r="W165" s="21" t="s">
        <v>166</v>
      </c>
      <c r="X165" s="4"/>
      <c r="Y165" s="21" t="s">
        <v>166</v>
      </c>
      <c r="Z165" s="4"/>
      <c r="AA165" s="10" t="s">
        <v>108</v>
      </c>
      <c r="AB165" s="10" t="s">
        <v>123</v>
      </c>
      <c r="AC165" s="10" t="s">
        <v>108</v>
      </c>
      <c r="AD165" s="10" t="s">
        <v>123</v>
      </c>
      <c r="AE165" s="10" t="s">
        <v>108</v>
      </c>
      <c r="AF165" s="10" t="s">
        <v>123</v>
      </c>
      <c r="AG165" s="4"/>
      <c r="AH165" s="33"/>
      <c r="AI165" s="33"/>
      <c r="AJ165" s="33"/>
      <c r="AK165" s="33"/>
      <c r="AL165" s="33"/>
      <c r="AM165" s="11"/>
      <c r="AN165" s="36"/>
      <c r="AO165" s="33"/>
      <c r="AP165" s="36"/>
      <c r="AQ165" s="33"/>
      <c r="AR165" s="36"/>
      <c r="AS165" s="36"/>
      <c r="AT165" s="38"/>
    </row>
    <row r="166" spans="1:46">
      <c r="A166" s="17" t="s">
        <v>46</v>
      </c>
      <c r="B166" s="4" t="s">
        <v>265</v>
      </c>
      <c r="C166" s="4">
        <v>26</v>
      </c>
      <c r="D166" s="4" t="s">
        <v>48</v>
      </c>
      <c r="E166" s="33"/>
      <c r="F166" s="4" t="s">
        <v>49</v>
      </c>
      <c r="G166" s="19">
        <v>45389</v>
      </c>
      <c r="H166" s="19">
        <v>45138</v>
      </c>
      <c r="I166" s="19"/>
      <c r="J166" s="34" t="str">
        <f t="shared" si="9"/>
        <v/>
      </c>
      <c r="K166" s="4"/>
      <c r="L166" s="4"/>
      <c r="M166" s="33"/>
      <c r="N166" s="4"/>
      <c r="O166" s="4"/>
      <c r="P166" s="35"/>
      <c r="Q166" s="36"/>
      <c r="R166" s="37" t="str">
        <f t="shared" si="10"/>
        <v/>
      </c>
      <c r="S166" s="4"/>
      <c r="T166" s="33"/>
      <c r="U166" s="33"/>
      <c r="V166" s="4"/>
      <c r="W166" s="4"/>
      <c r="X166" s="4"/>
      <c r="Y166" s="4"/>
      <c r="Z166" s="4"/>
      <c r="AG166" s="4"/>
      <c r="AH166" s="33"/>
      <c r="AI166" s="33"/>
      <c r="AJ166" s="33"/>
      <c r="AK166" s="33"/>
      <c r="AL166" s="33"/>
      <c r="AM166" s="29" t="s">
        <v>96</v>
      </c>
      <c r="AN166" s="36"/>
      <c r="AO166" s="33"/>
      <c r="AP166" s="36"/>
      <c r="AQ166" s="33"/>
      <c r="AR166" s="36"/>
      <c r="AS166" s="36"/>
      <c r="AT166" s="38"/>
    </row>
    <row r="167" spans="1:46">
      <c r="A167" s="17" t="s">
        <v>46</v>
      </c>
      <c r="B167" s="4" t="s">
        <v>266</v>
      </c>
      <c r="C167" s="4">
        <v>39</v>
      </c>
      <c r="D167" s="4" t="s">
        <v>48</v>
      </c>
      <c r="E167" s="33"/>
      <c r="F167" s="4" t="s">
        <v>82</v>
      </c>
      <c r="G167" s="19">
        <v>45389</v>
      </c>
      <c r="H167" s="19">
        <v>45145</v>
      </c>
      <c r="I167" s="19">
        <v>45604</v>
      </c>
      <c r="J167" s="34">
        <f t="shared" si="9"/>
        <v>460</v>
      </c>
      <c r="K167" s="4"/>
      <c r="L167" s="4"/>
      <c r="M167" s="33"/>
      <c r="N167" s="4"/>
      <c r="O167" s="21" t="s">
        <v>172</v>
      </c>
      <c r="P167" s="35"/>
      <c r="Q167" s="36"/>
      <c r="R167" s="37" t="str">
        <f t="shared" si="10"/>
        <v/>
      </c>
      <c r="S167" s="4"/>
      <c r="T167" s="33"/>
      <c r="U167" s="33"/>
      <c r="V167" s="4"/>
      <c r="W167" s="21" t="s">
        <v>166</v>
      </c>
      <c r="X167" s="21" t="s">
        <v>166</v>
      </c>
      <c r="Y167" s="21" t="s">
        <v>166</v>
      </c>
      <c r="Z167" s="4"/>
      <c r="AA167" s="10" t="s">
        <v>52</v>
      </c>
      <c r="AC167" s="10" t="s">
        <v>108</v>
      </c>
      <c r="AD167" s="10" t="s">
        <v>123</v>
      </c>
      <c r="AE167" s="10" t="s">
        <v>108</v>
      </c>
      <c r="AF167" s="10" t="s">
        <v>123</v>
      </c>
      <c r="AG167" s="4"/>
      <c r="AH167" s="33"/>
      <c r="AI167" s="33"/>
      <c r="AJ167" s="33"/>
      <c r="AK167" s="33"/>
      <c r="AL167" s="33"/>
      <c r="AM167" s="11"/>
      <c r="AN167" s="36"/>
      <c r="AO167" s="33"/>
      <c r="AP167" s="36"/>
      <c r="AQ167" s="33"/>
      <c r="AR167" s="36"/>
      <c r="AS167" s="36"/>
      <c r="AT167" s="38"/>
    </row>
    <row r="168" spans="1:46">
      <c r="A168" s="17" t="s">
        <v>46</v>
      </c>
      <c r="B168" s="4" t="s">
        <v>267</v>
      </c>
      <c r="C168" s="4">
        <v>29</v>
      </c>
      <c r="D168" s="4" t="s">
        <v>54</v>
      </c>
      <c r="E168" s="33"/>
      <c r="F168" s="4" t="s">
        <v>49</v>
      </c>
      <c r="G168" s="19">
        <v>45344</v>
      </c>
      <c r="H168" s="19">
        <v>45145</v>
      </c>
      <c r="I168" s="19">
        <v>45421</v>
      </c>
      <c r="J168" s="34">
        <f t="shared" si="9"/>
        <v>277</v>
      </c>
      <c r="K168" s="4"/>
      <c r="L168" s="4"/>
      <c r="M168" s="33"/>
      <c r="N168" s="4"/>
      <c r="O168" s="21" t="s">
        <v>172</v>
      </c>
      <c r="P168" s="35"/>
      <c r="Q168" s="36"/>
      <c r="R168" s="37" t="str">
        <f t="shared" si="10"/>
        <v/>
      </c>
      <c r="S168" s="4"/>
      <c r="T168" s="33"/>
      <c r="U168" s="33"/>
      <c r="V168" s="4"/>
      <c r="W168" s="21" t="s">
        <v>166</v>
      </c>
      <c r="X168" s="21" t="s">
        <v>166</v>
      </c>
      <c r="Y168" s="21" t="s">
        <v>166</v>
      </c>
      <c r="Z168" s="4"/>
      <c r="AA168" s="10" t="s">
        <v>52</v>
      </c>
      <c r="AC168" s="10" t="s">
        <v>108</v>
      </c>
      <c r="AD168" s="10" t="s">
        <v>123</v>
      </c>
      <c r="AE168" s="10" t="s">
        <v>108</v>
      </c>
      <c r="AF168" s="10" t="s">
        <v>123</v>
      </c>
      <c r="AG168" s="4"/>
      <c r="AH168" s="33"/>
      <c r="AI168" s="33"/>
      <c r="AJ168" s="33"/>
      <c r="AK168" s="33"/>
      <c r="AL168" s="33"/>
      <c r="AM168" s="11"/>
      <c r="AN168" s="36"/>
      <c r="AO168" s="33"/>
      <c r="AP168" s="36"/>
      <c r="AQ168" s="33"/>
      <c r="AR168" s="36"/>
      <c r="AS168" s="36"/>
      <c r="AT168" s="38"/>
    </row>
    <row r="169" spans="1:46">
      <c r="A169" s="17" t="s">
        <v>46</v>
      </c>
      <c r="B169" s="4" t="s">
        <v>268</v>
      </c>
      <c r="C169" s="4">
        <v>26</v>
      </c>
      <c r="D169" s="4" t="s">
        <v>48</v>
      </c>
      <c r="E169" s="33"/>
      <c r="F169" s="4" t="s">
        <v>49</v>
      </c>
      <c r="G169" s="19">
        <v>45344</v>
      </c>
      <c r="H169" s="19">
        <v>45155</v>
      </c>
      <c r="I169" s="19">
        <v>45344</v>
      </c>
      <c r="J169" s="34">
        <f t="shared" si="9"/>
        <v>190</v>
      </c>
      <c r="K169" s="4"/>
      <c r="L169" s="4"/>
      <c r="M169" s="33"/>
      <c r="N169" s="4"/>
      <c r="O169" s="21" t="s">
        <v>166</v>
      </c>
      <c r="P169" s="21" t="s">
        <v>166</v>
      </c>
      <c r="Q169" s="21" t="s">
        <v>166</v>
      </c>
      <c r="R169" s="37" t="e">
        <f t="shared" si="10"/>
        <v>#VALUE!</v>
      </c>
      <c r="S169" s="4"/>
      <c r="T169" s="33"/>
      <c r="U169" s="33"/>
      <c r="V169" s="4"/>
      <c r="W169" s="21" t="s">
        <v>166</v>
      </c>
      <c r="X169" s="21" t="s">
        <v>166</v>
      </c>
      <c r="Y169" s="4"/>
      <c r="Z169" s="4"/>
      <c r="AA169" s="10" t="s">
        <v>108</v>
      </c>
      <c r="AB169" s="10" t="s">
        <v>123</v>
      </c>
      <c r="AC169" s="10" t="s">
        <v>108</v>
      </c>
      <c r="AD169" s="10" t="s">
        <v>123</v>
      </c>
      <c r="AE169" s="10" t="s">
        <v>108</v>
      </c>
      <c r="AF169" s="10" t="s">
        <v>123</v>
      </c>
      <c r="AG169" s="4"/>
      <c r="AH169" s="33"/>
      <c r="AI169" s="33"/>
      <c r="AJ169" s="33"/>
      <c r="AK169" s="33"/>
      <c r="AL169" s="33"/>
      <c r="AM169" s="11"/>
      <c r="AN169" s="36"/>
      <c r="AO169" s="33"/>
      <c r="AP169" s="36"/>
      <c r="AQ169" s="33"/>
      <c r="AR169" s="36"/>
      <c r="AS169" s="36"/>
      <c r="AT169" s="38"/>
    </row>
    <row r="170" spans="1:46">
      <c r="A170" s="17" t="s">
        <v>46</v>
      </c>
      <c r="B170" s="4" t="s">
        <v>269</v>
      </c>
      <c r="C170" s="4">
        <v>40</v>
      </c>
      <c r="D170" s="4" t="s">
        <v>48</v>
      </c>
      <c r="E170" s="33"/>
      <c r="F170" s="4" t="s">
        <v>49</v>
      </c>
      <c r="G170" s="19">
        <v>45351</v>
      </c>
      <c r="H170" s="19">
        <v>45168</v>
      </c>
      <c r="I170" s="19">
        <v>45442</v>
      </c>
      <c r="J170" s="34">
        <f t="shared" si="9"/>
        <v>275</v>
      </c>
      <c r="K170" s="4"/>
      <c r="L170" s="4"/>
      <c r="M170" s="33"/>
      <c r="N170" s="4"/>
      <c r="O170" s="21" t="s">
        <v>172</v>
      </c>
      <c r="P170" s="35"/>
      <c r="Q170" s="36"/>
      <c r="R170" s="37" t="str">
        <f t="shared" si="10"/>
        <v/>
      </c>
      <c r="S170" s="4"/>
      <c r="T170" s="33"/>
      <c r="U170" s="33"/>
      <c r="V170" s="4"/>
      <c r="W170" s="21" t="s">
        <v>166</v>
      </c>
      <c r="X170" s="21" t="s">
        <v>166</v>
      </c>
      <c r="Y170" s="4"/>
      <c r="Z170" s="4"/>
      <c r="AA170" s="10" t="s">
        <v>108</v>
      </c>
      <c r="AB170" s="10" t="s">
        <v>123</v>
      </c>
      <c r="AC170" s="10" t="s">
        <v>108</v>
      </c>
      <c r="AD170" s="10" t="s">
        <v>123</v>
      </c>
      <c r="AE170" s="10" t="s">
        <v>108</v>
      </c>
      <c r="AF170" s="10" t="s">
        <v>123</v>
      </c>
      <c r="AG170" s="4"/>
      <c r="AH170" s="33"/>
      <c r="AI170" s="33"/>
      <c r="AJ170" s="33"/>
      <c r="AK170" s="33"/>
      <c r="AL170" s="33"/>
      <c r="AM170" s="11"/>
      <c r="AN170" s="36"/>
      <c r="AO170" s="33"/>
      <c r="AP170" s="36"/>
      <c r="AQ170" s="33"/>
      <c r="AR170" s="36"/>
      <c r="AS170" s="36"/>
      <c r="AT170" s="38"/>
    </row>
    <row r="171" spans="1:46">
      <c r="A171" s="17" t="s">
        <v>46</v>
      </c>
      <c r="B171" s="4" t="s">
        <v>270</v>
      </c>
      <c r="C171" s="4">
        <v>35</v>
      </c>
      <c r="D171" s="4" t="s">
        <v>48</v>
      </c>
      <c r="E171" s="33"/>
      <c r="F171" s="4" t="s">
        <v>49</v>
      </c>
      <c r="G171" s="19">
        <v>45389</v>
      </c>
      <c r="H171" s="19">
        <v>45173</v>
      </c>
      <c r="I171" s="19">
        <v>45355</v>
      </c>
      <c r="J171" s="34">
        <f t="shared" si="9"/>
        <v>183</v>
      </c>
      <c r="K171" s="4"/>
      <c r="L171" s="4"/>
      <c r="M171" s="33"/>
      <c r="N171" s="4"/>
      <c r="O171" s="21" t="s">
        <v>172</v>
      </c>
      <c r="P171" s="35"/>
      <c r="Q171" s="36"/>
      <c r="R171" s="37" t="str">
        <f t="shared" si="10"/>
        <v/>
      </c>
      <c r="S171" s="4"/>
      <c r="T171" s="33"/>
      <c r="U171" s="33"/>
      <c r="V171" s="4"/>
      <c r="W171" s="21" t="s">
        <v>166</v>
      </c>
      <c r="X171" s="21" t="s">
        <v>166</v>
      </c>
      <c r="Y171" s="4"/>
      <c r="Z171" s="4"/>
      <c r="AA171" s="10" t="s">
        <v>108</v>
      </c>
      <c r="AB171" s="10" t="s">
        <v>123</v>
      </c>
      <c r="AC171" s="10" t="s">
        <v>108</v>
      </c>
      <c r="AD171" s="10" t="s">
        <v>123</v>
      </c>
      <c r="AE171" s="10" t="s">
        <v>108</v>
      </c>
      <c r="AF171" s="10" t="s">
        <v>123</v>
      </c>
      <c r="AG171" s="4"/>
      <c r="AH171" s="33"/>
      <c r="AI171" s="33"/>
      <c r="AJ171" s="33"/>
      <c r="AK171" s="33"/>
      <c r="AL171" s="33"/>
      <c r="AM171" s="11"/>
      <c r="AN171" s="36"/>
      <c r="AO171" s="33"/>
      <c r="AP171" s="36"/>
      <c r="AQ171" s="33"/>
      <c r="AR171" s="36"/>
      <c r="AS171" s="36"/>
      <c r="AT171" s="38"/>
    </row>
    <row r="172" spans="1:46">
      <c r="A172" s="17" t="s">
        <v>46</v>
      </c>
      <c r="B172" s="4" t="s">
        <v>271</v>
      </c>
      <c r="C172" s="4">
        <v>25</v>
      </c>
      <c r="D172" s="4" t="s">
        <v>48</v>
      </c>
      <c r="E172" s="33"/>
      <c r="F172" s="4" t="s">
        <v>64</v>
      </c>
      <c r="G172" s="19" t="s">
        <v>57</v>
      </c>
      <c r="H172" s="19">
        <v>45173</v>
      </c>
      <c r="I172" s="19">
        <v>45358</v>
      </c>
      <c r="J172" s="34">
        <f t="shared" si="9"/>
        <v>186</v>
      </c>
      <c r="K172" s="4"/>
      <c r="L172" s="4"/>
      <c r="M172" s="33"/>
      <c r="N172" s="4"/>
      <c r="O172" s="21" t="s">
        <v>172</v>
      </c>
      <c r="P172" s="35"/>
      <c r="Q172" s="36"/>
      <c r="R172" s="37" t="str">
        <f t="shared" si="10"/>
        <v/>
      </c>
      <c r="S172" s="4"/>
      <c r="T172" s="33"/>
      <c r="U172" s="33"/>
      <c r="V172" s="4"/>
      <c r="W172" s="21" t="s">
        <v>189</v>
      </c>
      <c r="X172" s="21" t="s">
        <v>189</v>
      </c>
      <c r="Y172" s="21" t="s">
        <v>166</v>
      </c>
      <c r="Z172" s="21" t="s">
        <v>166</v>
      </c>
      <c r="AA172" s="10" t="s">
        <v>52</v>
      </c>
      <c r="AC172" s="10" t="s">
        <v>52</v>
      </c>
      <c r="AE172" s="10" t="s">
        <v>52</v>
      </c>
      <c r="AG172" s="4"/>
      <c r="AH172" s="33"/>
      <c r="AI172" s="33"/>
      <c r="AJ172" s="33"/>
      <c r="AK172" s="33"/>
      <c r="AL172" s="33"/>
      <c r="AM172" s="11"/>
      <c r="AN172" s="36"/>
      <c r="AO172" s="33"/>
      <c r="AP172" s="36"/>
      <c r="AQ172" s="33"/>
      <c r="AR172" s="36"/>
      <c r="AS172" s="36"/>
      <c r="AT172" s="38"/>
    </row>
    <row r="173" spans="1:46">
      <c r="A173" s="17" t="s">
        <v>46</v>
      </c>
      <c r="B173" s="4" t="s">
        <v>272</v>
      </c>
      <c r="C173" s="4">
        <v>25</v>
      </c>
      <c r="D173" s="4" t="s">
        <v>48</v>
      </c>
      <c r="E173" s="33"/>
      <c r="F173" s="4" t="s">
        <v>49</v>
      </c>
      <c r="G173" s="19">
        <v>45344</v>
      </c>
      <c r="H173" s="19">
        <v>45174</v>
      </c>
      <c r="I173" s="19">
        <v>45355</v>
      </c>
      <c r="J173" s="34">
        <f t="shared" si="9"/>
        <v>182</v>
      </c>
      <c r="K173" s="4"/>
      <c r="L173" s="4"/>
      <c r="M173" s="33"/>
      <c r="N173" s="4"/>
      <c r="O173" s="21" t="s">
        <v>172</v>
      </c>
      <c r="P173" s="35"/>
      <c r="Q173" s="36"/>
      <c r="R173" s="37" t="str">
        <f t="shared" si="10"/>
        <v/>
      </c>
      <c r="S173" s="4"/>
      <c r="T173" s="33"/>
      <c r="U173" s="33"/>
      <c r="V173" s="4"/>
      <c r="W173" s="21" t="s">
        <v>166</v>
      </c>
      <c r="X173" s="21" t="s">
        <v>166</v>
      </c>
      <c r="Y173" s="21" t="s">
        <v>166</v>
      </c>
      <c r="Z173" s="21" t="s">
        <v>166</v>
      </c>
      <c r="AA173" s="10" t="s">
        <v>52</v>
      </c>
      <c r="AC173" s="10" t="s">
        <v>52</v>
      </c>
      <c r="AE173" s="10" t="s">
        <v>52</v>
      </c>
      <c r="AG173" s="4"/>
      <c r="AH173" s="33"/>
      <c r="AI173" s="33"/>
      <c r="AJ173" s="33"/>
      <c r="AK173" s="33"/>
      <c r="AL173" s="33"/>
      <c r="AM173" s="11"/>
      <c r="AN173" s="36"/>
      <c r="AO173" s="33"/>
      <c r="AP173" s="36"/>
      <c r="AQ173" s="33"/>
      <c r="AR173" s="36"/>
      <c r="AS173" s="36"/>
      <c r="AT173" s="38"/>
    </row>
    <row r="174" spans="1:46">
      <c r="A174" s="17" t="s">
        <v>46</v>
      </c>
      <c r="B174" s="4" t="s">
        <v>273</v>
      </c>
      <c r="C174" s="4">
        <v>37</v>
      </c>
      <c r="D174" s="4" t="s">
        <v>54</v>
      </c>
      <c r="E174" s="33"/>
      <c r="F174" s="4" t="s">
        <v>49</v>
      </c>
      <c r="G174" s="19">
        <v>45342</v>
      </c>
      <c r="H174" s="19">
        <v>45182</v>
      </c>
      <c r="I174" s="19">
        <v>45449</v>
      </c>
      <c r="J174" s="34">
        <f t="shared" si="9"/>
        <v>268</v>
      </c>
      <c r="K174" s="4"/>
      <c r="L174" s="4"/>
      <c r="M174" s="33"/>
      <c r="N174" s="4"/>
      <c r="O174" s="21" t="s">
        <v>166</v>
      </c>
      <c r="P174" s="35"/>
      <c r="Q174" s="36"/>
      <c r="R174" s="37" t="str">
        <f t="shared" si="10"/>
        <v/>
      </c>
      <c r="S174" s="4"/>
      <c r="T174" s="33"/>
      <c r="U174" s="33"/>
      <c r="V174" s="4"/>
      <c r="W174" s="4"/>
      <c r="X174" s="4"/>
      <c r="Y174" s="4"/>
      <c r="Z174" s="4"/>
      <c r="AG174" s="4"/>
      <c r="AH174" s="33"/>
      <c r="AI174" s="33"/>
      <c r="AJ174" s="33"/>
      <c r="AK174" s="33"/>
      <c r="AL174" s="33"/>
      <c r="AM174" s="29" t="s">
        <v>96</v>
      </c>
      <c r="AN174" s="36"/>
      <c r="AO174" s="33"/>
      <c r="AP174" s="36"/>
      <c r="AQ174" s="33"/>
      <c r="AR174" s="36"/>
      <c r="AS174" s="36"/>
      <c r="AT174" s="38"/>
    </row>
    <row r="175" spans="1:46">
      <c r="A175" s="17" t="s">
        <v>46</v>
      </c>
      <c r="B175" s="4" t="s">
        <v>274</v>
      </c>
      <c r="C175" s="4">
        <v>26</v>
      </c>
      <c r="D175" s="4" t="s">
        <v>48</v>
      </c>
      <c r="E175" s="33"/>
      <c r="F175" s="4" t="s">
        <v>49</v>
      </c>
      <c r="G175" s="19">
        <v>45389</v>
      </c>
      <c r="H175" s="19">
        <v>45191</v>
      </c>
      <c r="I175" s="19">
        <v>45372</v>
      </c>
      <c r="J175" s="34">
        <f t="shared" si="9"/>
        <v>182</v>
      </c>
      <c r="K175" s="4"/>
      <c r="L175" s="4"/>
      <c r="M175" s="33"/>
      <c r="N175" s="4"/>
      <c r="O175" s="21" t="s">
        <v>166</v>
      </c>
      <c r="P175" s="35"/>
      <c r="Q175" s="36"/>
      <c r="R175" s="37" t="str">
        <f t="shared" si="10"/>
        <v/>
      </c>
      <c r="S175" s="4"/>
      <c r="T175" s="33"/>
      <c r="U175" s="33"/>
      <c r="V175" s="4"/>
      <c r="W175" s="21" t="s">
        <v>166</v>
      </c>
      <c r="X175" s="21" t="s">
        <v>166</v>
      </c>
      <c r="Y175" s="21"/>
      <c r="Z175" s="4"/>
      <c r="AA175" s="10" t="s">
        <v>108</v>
      </c>
      <c r="AB175" s="10" t="s">
        <v>123</v>
      </c>
      <c r="AC175" s="10" t="s">
        <v>108</v>
      </c>
      <c r="AD175" s="10" t="s">
        <v>123</v>
      </c>
      <c r="AE175" s="10" t="s">
        <v>108</v>
      </c>
      <c r="AF175" s="10" t="s">
        <v>123</v>
      </c>
      <c r="AG175" s="4"/>
      <c r="AH175" s="33"/>
      <c r="AI175" s="33"/>
      <c r="AJ175" s="33"/>
      <c r="AK175" s="33"/>
      <c r="AL175" s="33"/>
      <c r="AM175" s="11"/>
      <c r="AN175" s="36"/>
      <c r="AO175" s="33"/>
      <c r="AP175" s="36"/>
      <c r="AQ175" s="33"/>
      <c r="AR175" s="36"/>
      <c r="AS175" s="36"/>
      <c r="AT175" s="38"/>
    </row>
    <row r="176" spans="1:46">
      <c r="A176" s="17" t="s">
        <v>46</v>
      </c>
      <c r="B176" s="4" t="s">
        <v>275</v>
      </c>
      <c r="C176" s="4">
        <v>58</v>
      </c>
      <c r="D176" s="4" t="s">
        <v>48</v>
      </c>
      <c r="E176" s="33"/>
      <c r="F176" s="4" t="s">
        <v>49</v>
      </c>
      <c r="G176" s="19">
        <v>45383</v>
      </c>
      <c r="H176" s="19">
        <v>45196</v>
      </c>
      <c r="I176" s="19">
        <v>45378</v>
      </c>
      <c r="J176" s="34">
        <f t="shared" si="9"/>
        <v>183</v>
      </c>
      <c r="K176" s="4"/>
      <c r="L176" s="4"/>
      <c r="M176" s="33"/>
      <c r="N176" s="4"/>
      <c r="O176" s="21" t="s">
        <v>172</v>
      </c>
      <c r="P176" s="35"/>
      <c r="Q176" s="36"/>
      <c r="R176" s="37" t="str">
        <f t="shared" si="10"/>
        <v/>
      </c>
      <c r="S176" s="4"/>
      <c r="T176" s="33"/>
      <c r="U176" s="33"/>
      <c r="V176" s="4"/>
      <c r="W176" s="21" t="s">
        <v>166</v>
      </c>
      <c r="X176" s="21" t="s">
        <v>166</v>
      </c>
      <c r="Y176" s="4"/>
      <c r="Z176" s="21" t="s">
        <v>166</v>
      </c>
      <c r="AA176" s="10" t="s">
        <v>52</v>
      </c>
      <c r="AC176" s="10" t="s">
        <v>52</v>
      </c>
      <c r="AE176" s="10" t="s">
        <v>52</v>
      </c>
      <c r="AG176" s="4"/>
      <c r="AH176" s="33"/>
      <c r="AI176" s="33"/>
      <c r="AJ176" s="33"/>
      <c r="AK176" s="33"/>
      <c r="AL176" s="33"/>
      <c r="AM176" s="11"/>
      <c r="AN176" s="36"/>
      <c r="AO176" s="33"/>
      <c r="AP176" s="36"/>
      <c r="AQ176" s="33"/>
      <c r="AR176" s="36"/>
      <c r="AS176" s="36"/>
      <c r="AT176" s="38"/>
    </row>
    <row r="177" spans="1:46">
      <c r="A177" s="17" t="s">
        <v>46</v>
      </c>
      <c r="B177" s="4" t="s">
        <v>276</v>
      </c>
      <c r="C177" s="4">
        <v>38</v>
      </c>
      <c r="D177" s="4" t="s">
        <v>48</v>
      </c>
      <c r="E177" s="33"/>
      <c r="F177" s="4" t="s">
        <v>49</v>
      </c>
      <c r="G177" s="19">
        <v>45389</v>
      </c>
      <c r="H177" s="19">
        <v>45197</v>
      </c>
      <c r="I177" s="19">
        <v>45369</v>
      </c>
      <c r="J177" s="34">
        <f t="shared" si="9"/>
        <v>173</v>
      </c>
      <c r="K177" s="4"/>
      <c r="L177" s="4"/>
      <c r="M177" s="33"/>
      <c r="N177" s="4"/>
      <c r="O177" s="21" t="s">
        <v>172</v>
      </c>
      <c r="P177" s="35"/>
      <c r="Q177" s="36"/>
      <c r="R177" s="37" t="str">
        <f t="shared" si="10"/>
        <v/>
      </c>
      <c r="S177" s="4"/>
      <c r="T177" s="33"/>
      <c r="U177" s="33"/>
      <c r="V177" s="4"/>
      <c r="W177" s="21" t="s">
        <v>166</v>
      </c>
      <c r="X177" s="21" t="s">
        <v>166</v>
      </c>
      <c r="Y177" s="4"/>
      <c r="Z177" s="4"/>
      <c r="AA177" s="10" t="s">
        <v>108</v>
      </c>
      <c r="AB177" s="10" t="s">
        <v>123</v>
      </c>
      <c r="AC177" s="10" t="s">
        <v>108</v>
      </c>
      <c r="AD177" s="10" t="s">
        <v>123</v>
      </c>
      <c r="AE177" s="10" t="s">
        <v>108</v>
      </c>
      <c r="AF177" s="10" t="s">
        <v>123</v>
      </c>
      <c r="AG177" s="4"/>
      <c r="AH177" s="33"/>
      <c r="AI177" s="33"/>
      <c r="AJ177" s="33"/>
      <c r="AK177" s="33"/>
      <c r="AL177" s="33"/>
      <c r="AM177" s="11"/>
      <c r="AN177" s="36"/>
      <c r="AO177" s="33"/>
      <c r="AP177" s="36"/>
      <c r="AQ177" s="33"/>
      <c r="AR177" s="36"/>
      <c r="AS177" s="36"/>
      <c r="AT177" s="38"/>
    </row>
    <row r="178" spans="1:46">
      <c r="A178" s="17" t="s">
        <v>46</v>
      </c>
      <c r="B178" s="4" t="s">
        <v>277</v>
      </c>
      <c r="C178" s="4">
        <v>42</v>
      </c>
      <c r="D178" s="4" t="s">
        <v>48</v>
      </c>
      <c r="E178" s="33"/>
      <c r="F178" s="4" t="s">
        <v>56</v>
      </c>
      <c r="G178" s="19" t="s">
        <v>57</v>
      </c>
      <c r="H178" s="19">
        <v>45189</v>
      </c>
      <c r="I178" s="19">
        <v>45369</v>
      </c>
      <c r="J178" s="34">
        <f t="shared" si="9"/>
        <v>181</v>
      </c>
      <c r="K178" s="4"/>
      <c r="L178" s="4"/>
      <c r="M178" s="33"/>
      <c r="N178" s="4"/>
      <c r="O178" s="21" t="s">
        <v>172</v>
      </c>
      <c r="P178" s="35"/>
      <c r="Q178" s="36"/>
      <c r="R178" s="37" t="str">
        <f t="shared" si="10"/>
        <v/>
      </c>
      <c r="S178" s="4"/>
      <c r="T178" s="33"/>
      <c r="U178" s="33"/>
      <c r="V178" s="4"/>
      <c r="W178" s="21" t="s">
        <v>166</v>
      </c>
      <c r="X178" s="21" t="s">
        <v>166</v>
      </c>
      <c r="Y178" s="21" t="s">
        <v>166</v>
      </c>
      <c r="Z178" s="21" t="s">
        <v>166</v>
      </c>
      <c r="AA178" s="10" t="s">
        <v>52</v>
      </c>
      <c r="AC178" s="10" t="s">
        <v>52</v>
      </c>
      <c r="AE178" s="10" t="s">
        <v>52</v>
      </c>
      <c r="AG178" s="4"/>
      <c r="AH178" s="33"/>
      <c r="AI178" s="33"/>
      <c r="AJ178" s="33"/>
      <c r="AK178" s="33"/>
      <c r="AL178" s="33"/>
      <c r="AM178" s="11"/>
      <c r="AN178" s="36"/>
      <c r="AO178" s="33"/>
      <c r="AP178" s="36"/>
      <c r="AQ178" s="33"/>
      <c r="AR178" s="36"/>
      <c r="AS178" s="36"/>
      <c r="AT178" s="38"/>
    </row>
    <row r="179" spans="1:46">
      <c r="A179" s="17" t="s">
        <v>46</v>
      </c>
      <c r="B179" s="4" t="s">
        <v>278</v>
      </c>
      <c r="C179" s="4">
        <v>41</v>
      </c>
      <c r="D179" s="4" t="s">
        <v>48</v>
      </c>
      <c r="E179" s="33"/>
      <c r="F179" s="4" t="s">
        <v>49</v>
      </c>
      <c r="G179" s="19">
        <v>45351</v>
      </c>
      <c r="H179" s="19">
        <v>45208</v>
      </c>
      <c r="I179" s="19">
        <v>45493</v>
      </c>
      <c r="J179" s="34">
        <f t="shared" si="9"/>
        <v>286</v>
      </c>
      <c r="K179" s="4"/>
      <c r="L179" s="4"/>
      <c r="M179" s="33"/>
      <c r="N179" s="4"/>
      <c r="O179" s="21" t="s">
        <v>172</v>
      </c>
      <c r="P179" s="35"/>
      <c r="Q179" s="36"/>
      <c r="R179" s="37" t="str">
        <f t="shared" si="10"/>
        <v/>
      </c>
      <c r="S179" s="4"/>
      <c r="T179" s="33"/>
      <c r="U179" s="33"/>
      <c r="V179" s="4"/>
      <c r="W179" s="21" t="s">
        <v>172</v>
      </c>
      <c r="X179" s="21" t="s">
        <v>166</v>
      </c>
      <c r="Y179" s="21" t="s">
        <v>166</v>
      </c>
      <c r="Z179" s="21" t="s">
        <v>166</v>
      </c>
      <c r="AA179" s="10" t="s">
        <v>52</v>
      </c>
      <c r="AC179" s="10" t="s">
        <v>52</v>
      </c>
      <c r="AE179" s="10" t="s">
        <v>52</v>
      </c>
      <c r="AG179" s="4"/>
      <c r="AH179" s="33"/>
      <c r="AI179" s="33"/>
      <c r="AJ179" s="33"/>
      <c r="AK179" s="33"/>
      <c r="AL179" s="33"/>
      <c r="AM179" s="11"/>
      <c r="AN179" s="36"/>
      <c r="AO179" s="33"/>
      <c r="AP179" s="36"/>
      <c r="AQ179" s="33"/>
      <c r="AR179" s="36"/>
      <c r="AS179" s="36"/>
      <c r="AT179" s="38"/>
    </row>
    <row r="180" spans="1:46">
      <c r="A180" s="17" t="s">
        <v>46</v>
      </c>
      <c r="B180" s="4" t="s">
        <v>279</v>
      </c>
      <c r="C180" s="4">
        <v>27</v>
      </c>
      <c r="D180" s="4" t="s">
        <v>54</v>
      </c>
      <c r="E180" s="33"/>
      <c r="F180" s="4" t="s">
        <v>49</v>
      </c>
      <c r="G180" s="19">
        <v>45389</v>
      </c>
      <c r="H180" s="19">
        <v>45208</v>
      </c>
      <c r="I180" s="19">
        <v>45390</v>
      </c>
      <c r="J180" s="34">
        <f t="shared" si="9"/>
        <v>183</v>
      </c>
      <c r="K180" s="4"/>
      <c r="L180" s="4"/>
      <c r="M180" s="33"/>
      <c r="N180" s="4"/>
      <c r="O180" s="21" t="s">
        <v>172</v>
      </c>
      <c r="P180" s="35"/>
      <c r="Q180" s="36"/>
      <c r="R180" s="37" t="str">
        <f t="shared" si="10"/>
        <v/>
      </c>
      <c r="S180" s="4"/>
      <c r="T180" s="33"/>
      <c r="U180" s="33"/>
      <c r="V180" s="4"/>
      <c r="W180" s="21" t="s">
        <v>166</v>
      </c>
      <c r="X180" s="21" t="s">
        <v>166</v>
      </c>
      <c r="Y180" s="21" t="s">
        <v>166</v>
      </c>
      <c r="Z180" s="21" t="s">
        <v>166</v>
      </c>
      <c r="AA180" s="10" t="s">
        <v>52</v>
      </c>
      <c r="AC180" s="10" t="s">
        <v>52</v>
      </c>
      <c r="AE180" s="10" t="s">
        <v>52</v>
      </c>
      <c r="AG180" s="4"/>
      <c r="AH180" s="33"/>
      <c r="AI180" s="33"/>
      <c r="AJ180" s="33"/>
      <c r="AK180" s="33"/>
      <c r="AL180" s="33"/>
      <c r="AM180" s="11"/>
      <c r="AN180" s="36"/>
      <c r="AO180" s="33"/>
      <c r="AP180" s="36"/>
      <c r="AQ180" s="33"/>
      <c r="AR180" s="36"/>
      <c r="AS180" s="36"/>
      <c r="AT180" s="38"/>
    </row>
    <row r="181" spans="1:46">
      <c r="A181" s="17" t="s">
        <v>46</v>
      </c>
      <c r="B181" s="4" t="s">
        <v>280</v>
      </c>
      <c r="C181" s="4">
        <v>42</v>
      </c>
      <c r="D181" s="4" t="s">
        <v>48</v>
      </c>
      <c r="E181" s="33"/>
      <c r="F181" s="4" t="s">
        <v>82</v>
      </c>
      <c r="G181" s="19">
        <v>45389</v>
      </c>
      <c r="H181" s="19">
        <v>45212</v>
      </c>
      <c r="I181" s="19">
        <v>45423</v>
      </c>
      <c r="J181" s="34">
        <f t="shared" si="9"/>
        <v>212</v>
      </c>
      <c r="K181" s="4"/>
      <c r="L181" s="4"/>
      <c r="M181" s="33"/>
      <c r="N181" s="4"/>
      <c r="O181" s="21" t="s">
        <v>172</v>
      </c>
      <c r="P181" s="35"/>
      <c r="Q181" s="36"/>
      <c r="R181" s="37" t="str">
        <f t="shared" si="10"/>
        <v/>
      </c>
      <c r="S181" s="4"/>
      <c r="T181" s="33"/>
      <c r="U181" s="33"/>
      <c r="V181" s="4"/>
      <c r="W181" s="21" t="s">
        <v>166</v>
      </c>
      <c r="X181" s="21" t="s">
        <v>166</v>
      </c>
      <c r="Y181" s="4"/>
      <c r="Z181" s="4"/>
      <c r="AA181" s="10" t="s">
        <v>108</v>
      </c>
      <c r="AB181" s="10" t="s">
        <v>123</v>
      </c>
      <c r="AC181" s="10" t="s">
        <v>108</v>
      </c>
      <c r="AD181" s="10" t="s">
        <v>123</v>
      </c>
      <c r="AE181" s="10" t="s">
        <v>108</v>
      </c>
      <c r="AF181" s="10" t="s">
        <v>123</v>
      </c>
      <c r="AG181" s="4"/>
      <c r="AH181" s="33"/>
      <c r="AI181" s="33"/>
      <c r="AJ181" s="33"/>
      <c r="AK181" s="33"/>
      <c r="AL181" s="33"/>
      <c r="AM181" s="11"/>
      <c r="AN181" s="36"/>
      <c r="AO181" s="33"/>
      <c r="AP181" s="36"/>
      <c r="AQ181" s="33"/>
      <c r="AR181" s="36"/>
      <c r="AS181" s="36"/>
      <c r="AT181" s="38"/>
    </row>
    <row r="182" spans="1:46">
      <c r="A182" s="17" t="s">
        <v>46</v>
      </c>
      <c r="B182" s="4" t="s">
        <v>281</v>
      </c>
      <c r="C182" s="4">
        <v>37</v>
      </c>
      <c r="D182" s="4" t="s">
        <v>54</v>
      </c>
      <c r="E182" s="33"/>
      <c r="F182" s="4" t="s">
        <v>49</v>
      </c>
      <c r="G182" s="19" t="s">
        <v>57</v>
      </c>
      <c r="H182" s="19">
        <v>45211</v>
      </c>
      <c r="I182" s="19">
        <v>45393</v>
      </c>
      <c r="J182" s="34">
        <f t="shared" si="9"/>
        <v>183</v>
      </c>
      <c r="K182" s="4"/>
      <c r="L182" s="4"/>
      <c r="M182" s="33"/>
      <c r="N182" s="4"/>
      <c r="O182" s="21" t="s">
        <v>172</v>
      </c>
      <c r="P182" s="35"/>
      <c r="Q182" s="36"/>
      <c r="R182" s="37" t="str">
        <f t="shared" si="10"/>
        <v/>
      </c>
      <c r="S182" s="4"/>
      <c r="T182" s="33"/>
      <c r="U182" s="33"/>
      <c r="V182" s="4"/>
      <c r="W182" s="21" t="s">
        <v>166</v>
      </c>
      <c r="X182" s="21" t="s">
        <v>166</v>
      </c>
      <c r="Y182" s="4"/>
      <c r="Z182" s="4"/>
      <c r="AA182" s="10" t="s">
        <v>108</v>
      </c>
      <c r="AB182" s="10" t="s">
        <v>123</v>
      </c>
      <c r="AC182" s="10" t="s">
        <v>108</v>
      </c>
      <c r="AD182" s="10" t="s">
        <v>123</v>
      </c>
      <c r="AE182" s="10" t="s">
        <v>108</v>
      </c>
      <c r="AF182" s="10" t="s">
        <v>123</v>
      </c>
      <c r="AG182" s="4"/>
      <c r="AH182" s="33"/>
      <c r="AI182" s="33"/>
      <c r="AJ182" s="33"/>
      <c r="AK182" s="33"/>
      <c r="AL182" s="33"/>
      <c r="AM182" s="11"/>
      <c r="AN182" s="36"/>
      <c r="AO182" s="33"/>
      <c r="AP182" s="36"/>
      <c r="AQ182" s="33"/>
      <c r="AR182" s="36"/>
      <c r="AS182" s="36"/>
      <c r="AT182" s="38"/>
    </row>
    <row r="183" spans="1:46">
      <c r="A183" s="17" t="s">
        <v>46</v>
      </c>
      <c r="B183" s="4" t="s">
        <v>282</v>
      </c>
      <c r="C183" s="4">
        <v>64</v>
      </c>
      <c r="D183" s="4" t="s">
        <v>48</v>
      </c>
      <c r="E183" s="33"/>
      <c r="F183" s="4" t="s">
        <v>49</v>
      </c>
      <c r="G183" s="19">
        <v>45383</v>
      </c>
      <c r="H183" s="19">
        <v>45218</v>
      </c>
      <c r="I183" s="19">
        <v>45383</v>
      </c>
      <c r="J183" s="34">
        <f t="shared" si="9"/>
        <v>166</v>
      </c>
      <c r="K183" s="4"/>
      <c r="L183" s="4"/>
      <c r="M183" s="33"/>
      <c r="N183" s="4"/>
      <c r="O183" s="21" t="s">
        <v>172</v>
      </c>
      <c r="P183" s="35"/>
      <c r="Q183" s="36"/>
      <c r="R183" s="37" t="str">
        <f t="shared" si="10"/>
        <v/>
      </c>
      <c r="S183" s="4"/>
      <c r="T183" s="33"/>
      <c r="U183" s="33"/>
      <c r="V183" s="4"/>
      <c r="W183" s="21" t="s">
        <v>166</v>
      </c>
      <c r="X183" s="21" t="s">
        <v>166</v>
      </c>
      <c r="Y183" s="4"/>
      <c r="Z183" s="21" t="s">
        <v>166</v>
      </c>
      <c r="AA183" s="10" t="s">
        <v>52</v>
      </c>
      <c r="AC183" s="10" t="s">
        <v>52</v>
      </c>
      <c r="AE183" s="10" t="s">
        <v>52</v>
      </c>
      <c r="AG183" s="4"/>
      <c r="AH183" s="33"/>
      <c r="AI183" s="33"/>
      <c r="AJ183" s="33"/>
      <c r="AK183" s="33"/>
      <c r="AL183" s="33"/>
      <c r="AM183" s="11"/>
      <c r="AN183" s="36"/>
      <c r="AO183" s="33"/>
      <c r="AP183" s="36"/>
      <c r="AQ183" s="33"/>
      <c r="AR183" s="36"/>
      <c r="AS183" s="36"/>
      <c r="AT183" s="38"/>
    </row>
    <row r="184" spans="1:46">
      <c r="A184" s="17" t="s">
        <v>46</v>
      </c>
      <c r="B184" s="4" t="s">
        <v>283</v>
      </c>
      <c r="C184" s="4">
        <v>48</v>
      </c>
      <c r="D184" s="4" t="s">
        <v>48</v>
      </c>
      <c r="E184" s="33"/>
      <c r="F184" s="4" t="s">
        <v>49</v>
      </c>
      <c r="G184" s="19">
        <v>45389</v>
      </c>
      <c r="H184" s="19">
        <v>45237</v>
      </c>
      <c r="I184" s="19">
        <v>45586</v>
      </c>
      <c r="J184" s="34">
        <f t="shared" si="9"/>
        <v>350</v>
      </c>
      <c r="K184" s="4"/>
      <c r="L184" s="4"/>
      <c r="M184" s="33"/>
      <c r="N184" s="4"/>
      <c r="O184" s="21" t="s">
        <v>172</v>
      </c>
      <c r="P184" s="35"/>
      <c r="Q184" s="36"/>
      <c r="R184" s="37" t="str">
        <f t="shared" si="10"/>
        <v/>
      </c>
      <c r="S184" s="4"/>
      <c r="T184" s="33"/>
      <c r="U184" s="33"/>
      <c r="V184" s="4"/>
      <c r="W184" s="21" t="s">
        <v>166</v>
      </c>
      <c r="X184" s="21" t="s">
        <v>162</v>
      </c>
      <c r="Y184" s="21" t="s">
        <v>140</v>
      </c>
      <c r="Z184" s="21" t="s">
        <v>166</v>
      </c>
      <c r="AA184" s="10" t="s">
        <v>52</v>
      </c>
      <c r="AC184" s="10" t="s">
        <v>140</v>
      </c>
      <c r="AE184" s="10" t="s">
        <v>52</v>
      </c>
      <c r="AG184" s="4"/>
      <c r="AH184" s="33"/>
      <c r="AI184" s="33"/>
      <c r="AJ184" s="33"/>
      <c r="AK184" s="33"/>
      <c r="AL184" s="33"/>
      <c r="AM184" s="11"/>
      <c r="AN184" s="36"/>
      <c r="AO184" s="33"/>
      <c r="AP184" s="36"/>
      <c r="AQ184" s="33"/>
      <c r="AR184" s="36"/>
      <c r="AS184" s="36"/>
      <c r="AT184" s="38"/>
    </row>
    <row r="185" spans="1:46">
      <c r="A185" s="17" t="s">
        <v>46</v>
      </c>
      <c r="B185" s="4" t="s">
        <v>284</v>
      </c>
      <c r="C185" s="4">
        <v>47</v>
      </c>
      <c r="D185" s="4" t="s">
        <v>48</v>
      </c>
      <c r="E185" s="33"/>
      <c r="F185" s="4" t="s">
        <v>49</v>
      </c>
      <c r="G185" s="19">
        <v>45389</v>
      </c>
      <c r="H185" s="19">
        <v>45237</v>
      </c>
      <c r="I185" s="19">
        <v>45414</v>
      </c>
      <c r="J185" s="34">
        <f t="shared" si="9"/>
        <v>178</v>
      </c>
      <c r="K185" s="4"/>
      <c r="L185" s="4"/>
      <c r="M185" s="33"/>
      <c r="N185" s="4"/>
      <c r="O185" s="21" t="s">
        <v>172</v>
      </c>
      <c r="P185" s="35"/>
      <c r="Q185" s="36"/>
      <c r="R185" s="37" t="str">
        <f t="shared" si="10"/>
        <v/>
      </c>
      <c r="S185" s="4"/>
      <c r="T185" s="33"/>
      <c r="U185" s="33"/>
      <c r="V185" s="4"/>
      <c r="W185" s="21" t="s">
        <v>166</v>
      </c>
      <c r="X185" s="21" t="s">
        <v>166</v>
      </c>
      <c r="Y185" s="21" t="s">
        <v>166</v>
      </c>
      <c r="Z185" s="21" t="s">
        <v>140</v>
      </c>
      <c r="AA185" s="10" t="s">
        <v>52</v>
      </c>
      <c r="AC185" s="10" t="s">
        <v>52</v>
      </c>
      <c r="AE185" s="10" t="s">
        <v>140</v>
      </c>
      <c r="AG185" s="4"/>
      <c r="AH185" s="33"/>
      <c r="AI185" s="33"/>
      <c r="AJ185" s="33"/>
      <c r="AK185" s="33"/>
      <c r="AL185" s="33"/>
      <c r="AM185" s="11"/>
      <c r="AN185" s="36"/>
      <c r="AO185" s="33"/>
      <c r="AP185" s="36"/>
      <c r="AQ185" s="33"/>
      <c r="AR185" s="36"/>
      <c r="AS185" s="36"/>
      <c r="AT185" s="38"/>
    </row>
    <row r="186" spans="1:46">
      <c r="A186" s="17" t="s">
        <v>46</v>
      </c>
      <c r="B186" s="4" t="s">
        <v>285</v>
      </c>
      <c r="C186" s="4">
        <v>56</v>
      </c>
      <c r="D186" s="4" t="s">
        <v>48</v>
      </c>
      <c r="E186" s="33"/>
      <c r="F186" s="4" t="s">
        <v>82</v>
      </c>
      <c r="G186" s="19">
        <v>45444</v>
      </c>
      <c r="H186" s="19">
        <v>45246</v>
      </c>
      <c r="I186" s="19"/>
      <c r="J186" s="34" t="str">
        <f t="shared" si="9"/>
        <v/>
      </c>
      <c r="K186" s="4"/>
      <c r="L186" s="4"/>
      <c r="M186" s="33"/>
      <c r="N186" s="4"/>
      <c r="O186" s="21" t="s">
        <v>172</v>
      </c>
      <c r="P186" s="35"/>
      <c r="Q186" s="36"/>
      <c r="R186" s="37" t="str">
        <f t="shared" si="10"/>
        <v/>
      </c>
      <c r="S186" s="4"/>
      <c r="T186" s="33"/>
      <c r="U186" s="33"/>
      <c r="V186" s="4"/>
      <c r="W186" s="4"/>
      <c r="X186" s="4"/>
      <c r="Y186" s="4"/>
      <c r="Z186" s="4"/>
      <c r="AG186" s="4"/>
      <c r="AH186" s="33"/>
      <c r="AI186" s="33"/>
      <c r="AJ186" s="33"/>
      <c r="AK186" s="33"/>
      <c r="AL186" s="33"/>
      <c r="AM186" s="29" t="s">
        <v>96</v>
      </c>
      <c r="AN186" s="36"/>
      <c r="AO186" s="33"/>
      <c r="AP186" s="36"/>
      <c r="AQ186" s="33"/>
      <c r="AR186" s="36"/>
      <c r="AS186" s="36"/>
      <c r="AT186" s="38"/>
    </row>
    <row r="187" spans="1:46">
      <c r="A187" s="17" t="s">
        <v>46</v>
      </c>
      <c r="B187" s="4" t="s">
        <v>286</v>
      </c>
      <c r="C187" s="4">
        <v>26</v>
      </c>
      <c r="D187" s="4" t="s">
        <v>54</v>
      </c>
      <c r="E187" s="33"/>
      <c r="F187" s="4" t="s">
        <v>64</v>
      </c>
      <c r="G187" s="19" t="s">
        <v>57</v>
      </c>
      <c r="H187" s="19">
        <v>45295</v>
      </c>
      <c r="I187" s="19">
        <v>45444</v>
      </c>
      <c r="J187" s="34">
        <f t="shared" si="9"/>
        <v>150</v>
      </c>
      <c r="K187" s="4"/>
      <c r="L187" s="4"/>
      <c r="M187" s="33"/>
      <c r="N187" s="4"/>
      <c r="O187" s="21" t="s">
        <v>166</v>
      </c>
      <c r="P187" s="35"/>
      <c r="Q187" s="36"/>
      <c r="R187" s="37" t="str">
        <f t="shared" si="10"/>
        <v/>
      </c>
      <c r="S187" s="4"/>
      <c r="T187" s="33"/>
      <c r="U187" s="33"/>
      <c r="V187" s="4"/>
      <c r="W187" s="21" t="s">
        <v>166</v>
      </c>
      <c r="X187" s="21" t="s">
        <v>166</v>
      </c>
      <c r="Y187" s="21" t="s">
        <v>166</v>
      </c>
      <c r="Z187" s="21" t="s">
        <v>166</v>
      </c>
      <c r="AA187" s="10" t="s">
        <v>52</v>
      </c>
      <c r="AC187" s="10" t="s">
        <v>52</v>
      </c>
      <c r="AE187" s="10" t="s">
        <v>52</v>
      </c>
      <c r="AG187" s="4"/>
      <c r="AH187" s="33"/>
      <c r="AI187" s="33"/>
      <c r="AJ187" s="33"/>
      <c r="AK187" s="33"/>
      <c r="AL187" s="33"/>
      <c r="AM187" s="11"/>
      <c r="AN187" s="36"/>
      <c r="AO187" s="33"/>
      <c r="AP187" s="36"/>
      <c r="AQ187" s="33"/>
      <c r="AR187" s="36"/>
      <c r="AS187" s="36"/>
      <c r="AT187" s="38"/>
    </row>
    <row r="188" spans="1:46">
      <c r="A188" s="17" t="s">
        <v>46</v>
      </c>
      <c r="B188" s="4" t="s">
        <v>287</v>
      </c>
      <c r="C188" s="4">
        <v>62</v>
      </c>
      <c r="D188" s="4" t="s">
        <v>48</v>
      </c>
      <c r="E188" s="33"/>
      <c r="F188" s="4" t="s">
        <v>82</v>
      </c>
      <c r="G188" s="19">
        <v>45540</v>
      </c>
      <c r="H188" s="19">
        <v>45321</v>
      </c>
      <c r="I188" s="32"/>
      <c r="J188" s="34" t="str">
        <f t="shared" si="9"/>
        <v/>
      </c>
      <c r="K188" s="4"/>
      <c r="L188" s="4"/>
      <c r="M188" s="33"/>
      <c r="N188" s="4"/>
      <c r="O188" s="21" t="s">
        <v>172</v>
      </c>
      <c r="P188" s="35"/>
      <c r="Q188" s="36"/>
      <c r="R188" s="37" t="str">
        <f t="shared" si="10"/>
        <v/>
      </c>
      <c r="S188" s="4"/>
      <c r="T188" s="33"/>
      <c r="U188" s="33"/>
      <c r="V188" s="4"/>
      <c r="W188" s="21" t="s">
        <v>172</v>
      </c>
      <c r="X188" s="4"/>
      <c r="Y188" s="4"/>
      <c r="Z188" s="4"/>
      <c r="AG188" s="4"/>
      <c r="AH188" s="33"/>
      <c r="AI188" s="33"/>
      <c r="AJ188" s="33"/>
      <c r="AK188" s="33"/>
      <c r="AL188" s="33"/>
      <c r="AM188" s="29" t="s">
        <v>288</v>
      </c>
      <c r="AN188" s="36"/>
      <c r="AO188" s="33"/>
      <c r="AP188" s="36"/>
      <c r="AQ188" s="33"/>
      <c r="AR188" s="36"/>
      <c r="AS188" s="36"/>
      <c r="AT188" s="38"/>
    </row>
    <row r="189" spans="1:46">
      <c r="A189" s="17" t="s">
        <v>46</v>
      </c>
      <c r="B189" s="4" t="s">
        <v>289</v>
      </c>
      <c r="C189" s="4">
        <v>28</v>
      </c>
      <c r="D189" s="4" t="s">
        <v>54</v>
      </c>
      <c r="E189" s="33"/>
      <c r="F189" s="4" t="s">
        <v>49</v>
      </c>
      <c r="G189" s="19">
        <v>45479</v>
      </c>
      <c r="H189" s="19">
        <v>45326</v>
      </c>
      <c r="I189" s="19">
        <v>45606</v>
      </c>
      <c r="J189" s="34">
        <f t="shared" si="9"/>
        <v>281</v>
      </c>
      <c r="K189" s="4"/>
      <c r="L189" s="4"/>
      <c r="M189" s="33"/>
      <c r="N189" s="4"/>
      <c r="O189" s="21" t="s">
        <v>166</v>
      </c>
      <c r="P189" s="35"/>
      <c r="Q189" s="36"/>
      <c r="R189" s="37" t="str">
        <f t="shared" si="10"/>
        <v/>
      </c>
      <c r="S189" s="4"/>
      <c r="T189" s="33"/>
      <c r="U189" s="33"/>
      <c r="V189" s="4"/>
      <c r="W189" s="21" t="s">
        <v>166</v>
      </c>
      <c r="X189" s="21" t="s">
        <v>166</v>
      </c>
      <c r="Y189" s="21" t="s">
        <v>166</v>
      </c>
      <c r="Z189" s="21" t="s">
        <v>166</v>
      </c>
      <c r="AA189" s="10" t="s">
        <v>52</v>
      </c>
      <c r="AC189" s="10" t="s">
        <v>52</v>
      </c>
      <c r="AE189" s="10" t="s">
        <v>52</v>
      </c>
      <c r="AG189" s="4"/>
      <c r="AH189" s="33"/>
      <c r="AI189" s="33"/>
      <c r="AJ189" s="33"/>
      <c r="AK189" s="33"/>
      <c r="AL189" s="33"/>
      <c r="AM189" s="11"/>
      <c r="AN189" s="36"/>
      <c r="AO189" s="33"/>
      <c r="AP189" s="36"/>
      <c r="AQ189" s="33"/>
      <c r="AR189" s="36"/>
      <c r="AS189" s="36"/>
      <c r="AT189" s="38"/>
    </row>
    <row r="190" spans="1:46">
      <c r="A190" s="17" t="s">
        <v>46</v>
      </c>
      <c r="B190" s="4" t="s">
        <v>152</v>
      </c>
      <c r="C190" s="4">
        <v>36</v>
      </c>
      <c r="D190" s="4" t="s">
        <v>54</v>
      </c>
      <c r="E190" s="33"/>
      <c r="F190" s="4" t="s">
        <v>49</v>
      </c>
      <c r="G190" s="19">
        <v>45540</v>
      </c>
      <c r="H190" s="19">
        <v>45363</v>
      </c>
      <c r="I190" s="19">
        <v>45545</v>
      </c>
      <c r="J190" s="34">
        <f t="shared" si="9"/>
        <v>183</v>
      </c>
      <c r="K190" s="4"/>
      <c r="L190" s="4"/>
      <c r="M190" s="33"/>
      <c r="N190" s="4"/>
      <c r="O190" s="21" t="s">
        <v>166</v>
      </c>
      <c r="P190" s="35"/>
      <c r="Q190" s="36"/>
      <c r="R190" s="37" t="str">
        <f t="shared" si="10"/>
        <v/>
      </c>
      <c r="S190" s="4"/>
      <c r="T190" s="33"/>
      <c r="U190" s="33"/>
      <c r="V190" s="4"/>
      <c r="W190" s="21" t="s">
        <v>166</v>
      </c>
      <c r="X190" s="21" t="s">
        <v>166</v>
      </c>
      <c r="Y190" s="21" t="s">
        <v>140</v>
      </c>
      <c r="Z190" s="21" t="s">
        <v>140</v>
      </c>
      <c r="AA190" s="10" t="s">
        <v>52</v>
      </c>
      <c r="AC190" s="10" t="s">
        <v>108</v>
      </c>
      <c r="AD190" s="10" t="s">
        <v>123</v>
      </c>
      <c r="AE190" s="10" t="s">
        <v>108</v>
      </c>
      <c r="AF190" s="10" t="s">
        <v>123</v>
      </c>
      <c r="AG190" s="4"/>
      <c r="AH190" s="33"/>
      <c r="AI190" s="33"/>
      <c r="AJ190" s="33"/>
      <c r="AK190" s="33"/>
      <c r="AL190" s="33"/>
      <c r="AM190" s="33"/>
      <c r="AN190" s="36"/>
      <c r="AO190" s="33"/>
      <c r="AP190" s="36"/>
      <c r="AQ190" s="33"/>
      <c r="AR190" s="36"/>
      <c r="AS190" s="36"/>
      <c r="AT190" s="38"/>
    </row>
    <row r="191" spans="1:46">
      <c r="A191" s="17" t="s">
        <v>46</v>
      </c>
      <c r="B191" s="4" t="s">
        <v>290</v>
      </c>
      <c r="C191" s="4">
        <v>69</v>
      </c>
      <c r="D191" s="4" t="s">
        <v>48</v>
      </c>
      <c r="E191" s="33"/>
      <c r="F191" s="4" t="s">
        <v>49</v>
      </c>
      <c r="G191" s="19">
        <v>45540</v>
      </c>
      <c r="H191" s="19">
        <v>45384</v>
      </c>
      <c r="I191" s="19">
        <v>45585</v>
      </c>
      <c r="J191" s="34">
        <f t="shared" si="9"/>
        <v>202</v>
      </c>
      <c r="K191" s="4"/>
      <c r="L191" s="4"/>
      <c r="M191" s="33"/>
      <c r="N191" s="4"/>
      <c r="O191" s="21" t="s">
        <v>166</v>
      </c>
      <c r="P191" s="35"/>
      <c r="Q191" s="36"/>
      <c r="R191" s="37" t="str">
        <f t="shared" si="10"/>
        <v/>
      </c>
      <c r="S191" s="4"/>
      <c r="T191" s="33"/>
      <c r="U191" s="33"/>
      <c r="V191" s="4"/>
      <c r="W191" s="21" t="s">
        <v>166</v>
      </c>
      <c r="X191" s="21" t="s">
        <v>166</v>
      </c>
      <c r="Y191" s="21" t="s">
        <v>140</v>
      </c>
      <c r="Z191" s="21" t="s">
        <v>140</v>
      </c>
      <c r="AA191" s="10" t="s">
        <v>108</v>
      </c>
      <c r="AB191" s="10" t="s">
        <v>123</v>
      </c>
      <c r="AC191" s="10" t="s">
        <v>108</v>
      </c>
      <c r="AD191" s="10" t="s">
        <v>123</v>
      </c>
      <c r="AE191" s="10" t="s">
        <v>108</v>
      </c>
      <c r="AF191" s="10" t="s">
        <v>123</v>
      </c>
      <c r="AG191" s="4"/>
      <c r="AH191" s="33"/>
      <c r="AI191" s="33"/>
      <c r="AJ191" s="33"/>
      <c r="AK191" s="33"/>
      <c r="AL191" s="33"/>
      <c r="AM191" s="33"/>
      <c r="AN191" s="36"/>
      <c r="AO191" s="33"/>
      <c r="AP191" s="36"/>
      <c r="AQ191" s="33"/>
      <c r="AR191" s="36"/>
      <c r="AS191" s="36"/>
      <c r="AT191" s="38"/>
    </row>
    <row r="192" spans="1:46">
      <c r="A192" s="17" t="s">
        <v>46</v>
      </c>
      <c r="B192" s="4" t="s">
        <v>291</v>
      </c>
      <c r="C192" s="4">
        <v>34</v>
      </c>
      <c r="D192" s="4" t="s">
        <v>54</v>
      </c>
      <c r="E192" s="33"/>
      <c r="F192" s="4" t="s">
        <v>49</v>
      </c>
      <c r="G192" s="19">
        <v>45558</v>
      </c>
      <c r="H192" s="19">
        <v>45385</v>
      </c>
      <c r="I192" s="19">
        <v>45558</v>
      </c>
      <c r="J192" s="34">
        <f t="shared" si="9"/>
        <v>174</v>
      </c>
      <c r="K192" s="4"/>
      <c r="L192" s="4"/>
      <c r="M192" s="33"/>
      <c r="N192" s="4"/>
      <c r="O192" s="21" t="s">
        <v>172</v>
      </c>
      <c r="P192" s="35"/>
      <c r="Q192" s="36"/>
      <c r="R192" s="37" t="str">
        <f t="shared" si="10"/>
        <v/>
      </c>
      <c r="S192" s="4"/>
      <c r="T192" s="33"/>
      <c r="U192" s="33"/>
      <c r="V192" s="4"/>
      <c r="W192" s="21" t="s">
        <v>166</v>
      </c>
      <c r="X192" s="21" t="s">
        <v>166</v>
      </c>
      <c r="Y192" s="21" t="s">
        <v>166</v>
      </c>
      <c r="Z192" s="21" t="s">
        <v>166</v>
      </c>
      <c r="AA192" s="10" t="s">
        <v>52</v>
      </c>
      <c r="AC192" s="10" t="s">
        <v>52</v>
      </c>
      <c r="AE192" s="10" t="s">
        <v>52</v>
      </c>
      <c r="AG192" s="4"/>
      <c r="AH192" s="33"/>
      <c r="AI192" s="33"/>
      <c r="AJ192" s="33"/>
      <c r="AK192" s="33"/>
      <c r="AL192" s="33"/>
      <c r="AM192" s="33"/>
      <c r="AN192" s="36"/>
      <c r="AO192" s="33"/>
      <c r="AP192" s="36"/>
      <c r="AQ192" s="33"/>
      <c r="AR192" s="36"/>
      <c r="AS192" s="36"/>
      <c r="AT192" s="38"/>
    </row>
    <row r="193" spans="1:46">
      <c r="A193" s="17" t="s">
        <v>46</v>
      </c>
      <c r="B193" s="4" t="s">
        <v>292</v>
      </c>
      <c r="C193" s="4">
        <v>31</v>
      </c>
      <c r="D193" s="4" t="s">
        <v>48</v>
      </c>
      <c r="E193" s="33"/>
      <c r="F193" s="4" t="s">
        <v>82</v>
      </c>
      <c r="G193" s="19" t="s">
        <v>57</v>
      </c>
      <c r="H193" s="19">
        <v>45392</v>
      </c>
      <c r="I193" s="19">
        <v>45566</v>
      </c>
      <c r="J193" s="34">
        <f t="shared" si="9"/>
        <v>175</v>
      </c>
      <c r="K193" s="4"/>
      <c r="L193" s="4"/>
      <c r="M193" s="33"/>
      <c r="N193" s="4"/>
      <c r="O193" s="21" t="s">
        <v>172</v>
      </c>
      <c r="P193" s="35"/>
      <c r="Q193" s="36"/>
      <c r="R193" s="37" t="str">
        <f t="shared" si="10"/>
        <v/>
      </c>
      <c r="S193" s="4"/>
      <c r="T193" s="33"/>
      <c r="U193" s="33"/>
      <c r="V193" s="4"/>
      <c r="W193" s="21" t="s">
        <v>189</v>
      </c>
      <c r="X193" s="21" t="s">
        <v>189</v>
      </c>
      <c r="Y193" s="21" t="s">
        <v>140</v>
      </c>
      <c r="Z193" s="21" t="s">
        <v>140</v>
      </c>
      <c r="AA193" s="10" t="s">
        <v>108</v>
      </c>
      <c r="AB193" s="10" t="s">
        <v>123</v>
      </c>
      <c r="AC193" s="10" t="s">
        <v>108</v>
      </c>
      <c r="AD193" s="10" t="s">
        <v>123</v>
      </c>
      <c r="AE193" s="10" t="s">
        <v>108</v>
      </c>
      <c r="AF193" s="10" t="s">
        <v>123</v>
      </c>
      <c r="AG193" s="4"/>
      <c r="AH193" s="33"/>
      <c r="AI193" s="33"/>
      <c r="AJ193" s="33"/>
      <c r="AK193" s="33"/>
      <c r="AL193" s="33"/>
      <c r="AM193" s="33"/>
      <c r="AN193" s="36"/>
      <c r="AO193" s="33"/>
      <c r="AP193" s="36"/>
      <c r="AQ193" s="33"/>
      <c r="AR193" s="36"/>
      <c r="AS193" s="36"/>
      <c r="AT193" s="38"/>
    </row>
    <row r="194" spans="1:46">
      <c r="A194" s="17" t="s">
        <v>46</v>
      </c>
      <c r="B194" s="4" t="s">
        <v>293</v>
      </c>
      <c r="C194" s="4">
        <v>53</v>
      </c>
      <c r="D194" s="4" t="s">
        <v>48</v>
      </c>
      <c r="E194" s="33"/>
      <c r="F194" s="4" t="s">
        <v>82</v>
      </c>
      <c r="G194" s="19">
        <v>45540</v>
      </c>
      <c r="H194" s="19">
        <v>45393</v>
      </c>
      <c r="I194" s="19">
        <v>45676</v>
      </c>
      <c r="J194" s="34">
        <f t="shared" si="9"/>
        <v>284</v>
      </c>
      <c r="K194" s="4"/>
      <c r="L194" s="4"/>
      <c r="M194" s="33"/>
      <c r="N194" s="4"/>
      <c r="O194" s="21" t="s">
        <v>172</v>
      </c>
      <c r="P194" s="35"/>
      <c r="Q194" s="36"/>
      <c r="R194" s="37" t="str">
        <f t="shared" si="10"/>
        <v/>
      </c>
      <c r="S194" s="4"/>
      <c r="T194" s="33"/>
      <c r="U194" s="33"/>
      <c r="V194" s="4"/>
      <c r="W194" s="21" t="s">
        <v>172</v>
      </c>
      <c r="X194" s="21" t="s">
        <v>166</v>
      </c>
      <c r="Y194" s="21" t="s">
        <v>166</v>
      </c>
      <c r="Z194" s="21" t="s">
        <v>166</v>
      </c>
      <c r="AA194" s="10" t="s">
        <v>52</v>
      </c>
      <c r="AC194" s="10" t="s">
        <v>52</v>
      </c>
      <c r="AE194" s="10" t="s">
        <v>52</v>
      </c>
      <c r="AG194" s="4"/>
      <c r="AH194" s="33"/>
      <c r="AI194" s="33"/>
      <c r="AJ194" s="33"/>
      <c r="AK194" s="33"/>
      <c r="AL194" s="33"/>
      <c r="AM194" s="33"/>
      <c r="AN194" s="36"/>
      <c r="AO194" s="33"/>
      <c r="AP194" s="36"/>
      <c r="AQ194" s="33"/>
      <c r="AR194" s="36"/>
      <c r="AS194" s="36"/>
      <c r="AT194" s="38"/>
    </row>
    <row r="195" spans="1:46">
      <c r="A195" s="17" t="s">
        <v>46</v>
      </c>
      <c r="B195" s="4" t="s">
        <v>294</v>
      </c>
      <c r="C195" s="4">
        <v>23</v>
      </c>
      <c r="D195" s="4" t="s">
        <v>48</v>
      </c>
      <c r="E195" s="33"/>
      <c r="F195" s="4" t="s">
        <v>49</v>
      </c>
      <c r="G195" s="19" t="s">
        <v>57</v>
      </c>
      <c r="H195" s="19">
        <v>45404</v>
      </c>
      <c r="I195" s="19">
        <v>45589</v>
      </c>
      <c r="J195" s="34">
        <f t="shared" si="9"/>
        <v>186</v>
      </c>
      <c r="K195" s="4"/>
      <c r="L195" s="4"/>
      <c r="M195" s="33"/>
      <c r="N195" s="4"/>
      <c r="O195" s="21" t="s">
        <v>166</v>
      </c>
      <c r="P195" s="35"/>
      <c r="Q195" s="36"/>
      <c r="R195" s="37" t="str">
        <f t="shared" si="10"/>
        <v/>
      </c>
      <c r="S195" s="4"/>
      <c r="T195" s="33"/>
      <c r="U195" s="33"/>
      <c r="V195" s="4"/>
      <c r="W195" s="21" t="s">
        <v>166</v>
      </c>
      <c r="X195" s="21" t="s">
        <v>166</v>
      </c>
      <c r="Y195" s="21" t="s">
        <v>166</v>
      </c>
      <c r="Z195" s="21" t="s">
        <v>166</v>
      </c>
      <c r="AA195" s="10" t="s">
        <v>52</v>
      </c>
      <c r="AC195" s="10" t="s">
        <v>52</v>
      </c>
      <c r="AE195" s="10" t="s">
        <v>52</v>
      </c>
      <c r="AG195" s="4"/>
      <c r="AH195" s="33"/>
      <c r="AI195" s="33"/>
      <c r="AJ195" s="33"/>
      <c r="AK195" s="33"/>
      <c r="AL195" s="33"/>
      <c r="AM195" s="33"/>
      <c r="AN195" s="36"/>
      <c r="AO195" s="33"/>
      <c r="AP195" s="36"/>
      <c r="AQ195" s="33"/>
      <c r="AR195" s="36"/>
      <c r="AS195" s="36"/>
      <c r="AT195" s="38"/>
    </row>
    <row r="196" spans="1:46">
      <c r="A196" s="17" t="s">
        <v>46</v>
      </c>
      <c r="B196" s="4" t="s">
        <v>295</v>
      </c>
      <c r="C196" s="4">
        <v>64</v>
      </c>
      <c r="D196" s="4" t="s">
        <v>48</v>
      </c>
      <c r="E196" s="33"/>
      <c r="F196" s="4" t="s">
        <v>49</v>
      </c>
      <c r="G196" s="19">
        <v>45589</v>
      </c>
      <c r="H196" s="19">
        <v>45425</v>
      </c>
      <c r="I196" s="19">
        <v>45606</v>
      </c>
      <c r="J196" s="34">
        <f t="shared" si="9"/>
        <v>182</v>
      </c>
      <c r="K196" s="4"/>
      <c r="L196" s="4"/>
      <c r="M196" s="33"/>
      <c r="N196" s="4"/>
      <c r="O196" s="21" t="s">
        <v>172</v>
      </c>
      <c r="P196" s="35"/>
      <c r="Q196" s="36"/>
      <c r="R196" s="37" t="str">
        <f t="shared" si="10"/>
        <v/>
      </c>
      <c r="S196" s="4"/>
      <c r="T196" s="33"/>
      <c r="U196" s="33"/>
      <c r="V196" s="4"/>
      <c r="W196" s="21" t="s">
        <v>166</v>
      </c>
      <c r="X196" s="21" t="s">
        <v>166</v>
      </c>
      <c r="Y196" s="21" t="s">
        <v>140</v>
      </c>
      <c r="Z196" s="21" t="s">
        <v>140</v>
      </c>
      <c r="AA196" s="10" t="s">
        <v>108</v>
      </c>
      <c r="AB196" s="10" t="s">
        <v>123</v>
      </c>
      <c r="AC196" s="10" t="s">
        <v>108</v>
      </c>
      <c r="AD196" s="10" t="s">
        <v>123</v>
      </c>
      <c r="AE196" s="10" t="s">
        <v>108</v>
      </c>
      <c r="AF196" s="10" t="s">
        <v>123</v>
      </c>
      <c r="AG196" s="4"/>
      <c r="AH196" s="33"/>
      <c r="AI196" s="33"/>
      <c r="AJ196" s="33"/>
      <c r="AK196" s="33"/>
      <c r="AL196" s="33"/>
      <c r="AM196" s="33"/>
      <c r="AN196" s="36"/>
      <c r="AO196" s="33"/>
      <c r="AP196" s="36"/>
      <c r="AQ196" s="33"/>
      <c r="AR196" s="36"/>
      <c r="AS196" s="36"/>
      <c r="AT196" s="38"/>
    </row>
    <row r="197" spans="1:46">
      <c r="A197" s="17" t="s">
        <v>46</v>
      </c>
      <c r="B197" s="4" t="s">
        <v>296</v>
      </c>
      <c r="C197" s="4">
        <v>57</v>
      </c>
      <c r="D197" s="4" t="s">
        <v>48</v>
      </c>
      <c r="E197" s="33"/>
      <c r="F197" s="4" t="s">
        <v>56</v>
      </c>
      <c r="G197" s="19" t="s">
        <v>57</v>
      </c>
      <c r="H197" s="19">
        <v>45425</v>
      </c>
      <c r="I197" s="19">
        <v>45886</v>
      </c>
      <c r="J197" s="34">
        <f t="shared" si="9"/>
        <v>462</v>
      </c>
      <c r="K197" s="4"/>
      <c r="L197" s="4"/>
      <c r="M197" s="33"/>
      <c r="N197" s="4"/>
      <c r="O197" s="21" t="s">
        <v>172</v>
      </c>
      <c r="P197" s="35"/>
      <c r="Q197" s="36"/>
      <c r="R197" s="37" t="str">
        <f t="shared" si="10"/>
        <v/>
      </c>
      <c r="S197" s="4"/>
      <c r="T197" s="33"/>
      <c r="U197" s="33"/>
      <c r="V197" s="4"/>
      <c r="W197" s="21" t="s">
        <v>166</v>
      </c>
      <c r="X197" s="21" t="s">
        <v>162</v>
      </c>
      <c r="Y197" s="21" t="s">
        <v>140</v>
      </c>
      <c r="Z197" s="21" t="s">
        <v>140</v>
      </c>
      <c r="AA197" s="10" t="s">
        <v>108</v>
      </c>
      <c r="AB197" s="10" t="s">
        <v>123</v>
      </c>
      <c r="AC197" s="10" t="s">
        <v>108</v>
      </c>
      <c r="AD197" s="10" t="s">
        <v>123</v>
      </c>
      <c r="AE197" s="10" t="s">
        <v>108</v>
      </c>
      <c r="AF197" s="10" t="s">
        <v>123</v>
      </c>
      <c r="AG197" s="4"/>
      <c r="AH197" s="33"/>
      <c r="AI197" s="33"/>
      <c r="AJ197" s="33"/>
      <c r="AK197" s="33"/>
      <c r="AL197" s="33"/>
      <c r="AM197" s="33"/>
      <c r="AN197" s="36"/>
      <c r="AO197" s="33"/>
      <c r="AP197" s="36"/>
      <c r="AQ197" s="33"/>
      <c r="AR197" s="36"/>
      <c r="AS197" s="36"/>
      <c r="AT197" s="38"/>
    </row>
    <row r="198" spans="1:46">
      <c r="A198" s="17" t="s">
        <v>46</v>
      </c>
      <c r="B198" s="4" t="s">
        <v>297</v>
      </c>
      <c r="C198" s="4">
        <v>20</v>
      </c>
      <c r="D198" s="4" t="s">
        <v>48</v>
      </c>
      <c r="E198" s="33"/>
      <c r="F198" s="4" t="s">
        <v>82</v>
      </c>
      <c r="G198" s="19">
        <v>45589</v>
      </c>
      <c r="H198" s="19">
        <v>45428</v>
      </c>
      <c r="I198" s="19">
        <v>45697</v>
      </c>
      <c r="J198" s="34">
        <f t="shared" si="9"/>
        <v>270</v>
      </c>
      <c r="K198" s="4"/>
      <c r="L198" s="4"/>
      <c r="M198" s="33"/>
      <c r="N198" s="4"/>
      <c r="O198" s="21" t="s">
        <v>166</v>
      </c>
      <c r="P198" s="35"/>
      <c r="Q198" s="36"/>
      <c r="R198" s="37" t="str">
        <f t="shared" si="10"/>
        <v/>
      </c>
      <c r="S198" s="4"/>
      <c r="T198" s="33"/>
      <c r="U198" s="33"/>
      <c r="V198" s="4"/>
      <c r="W198" s="21" t="s">
        <v>166</v>
      </c>
      <c r="X198" s="21" t="s">
        <v>166</v>
      </c>
      <c r="Y198" s="21" t="s">
        <v>166</v>
      </c>
      <c r="Z198" s="21" t="s">
        <v>166</v>
      </c>
      <c r="AA198" s="10" t="s">
        <v>52</v>
      </c>
      <c r="AC198" s="10" t="s">
        <v>52</v>
      </c>
      <c r="AE198" s="10" t="s">
        <v>52</v>
      </c>
      <c r="AG198" s="4"/>
      <c r="AH198" s="33"/>
      <c r="AI198" s="33"/>
      <c r="AJ198" s="33"/>
      <c r="AK198" s="33"/>
      <c r="AL198" s="33"/>
      <c r="AM198" s="33"/>
      <c r="AN198" s="36"/>
      <c r="AO198" s="33"/>
      <c r="AP198" s="36"/>
      <c r="AQ198" s="33"/>
      <c r="AR198" s="36"/>
      <c r="AS198" s="36"/>
      <c r="AT198" s="38"/>
    </row>
    <row r="199" spans="1:46">
      <c r="A199" s="17" t="s">
        <v>46</v>
      </c>
      <c r="B199" s="4" t="s">
        <v>298</v>
      </c>
      <c r="C199" s="4">
        <v>28</v>
      </c>
      <c r="D199" s="4" t="s">
        <v>54</v>
      </c>
      <c r="E199" s="33"/>
      <c r="F199" s="4" t="s">
        <v>78</v>
      </c>
      <c r="G199" s="19" t="s">
        <v>57</v>
      </c>
      <c r="H199" s="19">
        <v>45434</v>
      </c>
      <c r="I199" s="19">
        <v>45809</v>
      </c>
      <c r="J199" s="34">
        <f t="shared" si="9"/>
        <v>376</v>
      </c>
      <c r="K199" s="4"/>
      <c r="L199" s="4"/>
      <c r="M199" s="33"/>
      <c r="N199" s="4"/>
      <c r="O199" s="21" t="s">
        <v>172</v>
      </c>
      <c r="P199" s="35"/>
      <c r="Q199" s="36"/>
      <c r="R199" s="37" t="str">
        <f t="shared" si="10"/>
        <v/>
      </c>
      <c r="S199" s="4"/>
      <c r="T199" s="33"/>
      <c r="U199" s="33"/>
      <c r="V199" s="4"/>
      <c r="W199" s="21" t="s">
        <v>166</v>
      </c>
      <c r="X199" s="21" t="s">
        <v>162</v>
      </c>
      <c r="Y199" s="21" t="s">
        <v>162</v>
      </c>
      <c r="Z199" s="21" t="s">
        <v>166</v>
      </c>
      <c r="AA199" s="10" t="s">
        <v>52</v>
      </c>
      <c r="AC199" s="10" t="s">
        <v>140</v>
      </c>
      <c r="AE199" s="10" t="s">
        <v>52</v>
      </c>
      <c r="AG199" s="4"/>
      <c r="AH199" s="33"/>
      <c r="AI199" s="33"/>
      <c r="AJ199" s="33"/>
      <c r="AK199" s="33"/>
      <c r="AL199" s="33"/>
      <c r="AM199" s="33"/>
      <c r="AN199" s="36"/>
      <c r="AO199" s="33"/>
      <c r="AP199" s="36"/>
      <c r="AQ199" s="33"/>
      <c r="AR199" s="36"/>
      <c r="AS199" s="36"/>
      <c r="AT199" s="38"/>
    </row>
    <row r="200" spans="1:46">
      <c r="A200" s="17" t="s">
        <v>46</v>
      </c>
      <c r="B200" s="4" t="s">
        <v>299</v>
      </c>
      <c r="C200" s="4">
        <v>35</v>
      </c>
      <c r="D200" s="4" t="s">
        <v>48</v>
      </c>
      <c r="E200" s="33"/>
      <c r="F200" s="4" t="s">
        <v>191</v>
      </c>
      <c r="G200" s="19" t="s">
        <v>57</v>
      </c>
      <c r="H200" s="19">
        <v>45434</v>
      </c>
      <c r="I200" s="19">
        <v>45627</v>
      </c>
      <c r="J200" s="34">
        <f t="shared" si="9"/>
        <v>194</v>
      </c>
      <c r="K200" s="4"/>
      <c r="L200" s="4"/>
      <c r="M200" s="33"/>
      <c r="N200" s="4"/>
      <c r="O200" s="21" t="s">
        <v>172</v>
      </c>
      <c r="P200" s="35"/>
      <c r="Q200" s="36"/>
      <c r="R200" s="37" t="str">
        <f t="shared" si="10"/>
        <v/>
      </c>
      <c r="S200" s="4"/>
      <c r="T200" s="33"/>
      <c r="U200" s="33"/>
      <c r="V200" s="4"/>
      <c r="W200" s="21" t="s">
        <v>166</v>
      </c>
      <c r="X200" s="21" t="s">
        <v>51</v>
      </c>
      <c r="Y200" s="21" t="s">
        <v>166</v>
      </c>
      <c r="Z200" s="21" t="s">
        <v>166</v>
      </c>
      <c r="AA200" s="10" t="s">
        <v>52</v>
      </c>
      <c r="AC200" s="10" t="s">
        <v>52</v>
      </c>
      <c r="AE200" s="10" t="s">
        <v>52</v>
      </c>
      <c r="AG200" s="4"/>
      <c r="AH200" s="33"/>
      <c r="AI200" s="33"/>
      <c r="AJ200" s="33"/>
      <c r="AK200" s="33"/>
      <c r="AL200" s="33"/>
      <c r="AM200" s="33"/>
      <c r="AN200" s="36"/>
      <c r="AO200" s="33"/>
      <c r="AP200" s="36"/>
      <c r="AQ200" s="33"/>
      <c r="AR200" s="36"/>
      <c r="AS200" s="36"/>
      <c r="AT200" s="38"/>
    </row>
    <row r="201" spans="1:46">
      <c r="A201" s="17" t="s">
        <v>46</v>
      </c>
      <c r="B201" s="4" t="s">
        <v>300</v>
      </c>
      <c r="C201" s="4">
        <v>30</v>
      </c>
      <c r="D201" s="4" t="s">
        <v>48</v>
      </c>
      <c r="E201" s="33"/>
      <c r="F201" s="4" t="s">
        <v>49</v>
      </c>
      <c r="G201" s="19">
        <v>45639</v>
      </c>
      <c r="H201" s="19">
        <v>45447</v>
      </c>
      <c r="I201" s="19">
        <v>45630</v>
      </c>
      <c r="J201" s="34">
        <f t="shared" si="9"/>
        <v>184</v>
      </c>
      <c r="K201" s="4"/>
      <c r="L201" s="4"/>
      <c r="M201" s="33"/>
      <c r="N201" s="4"/>
      <c r="O201" s="21" t="s">
        <v>172</v>
      </c>
      <c r="P201" s="35"/>
      <c r="Q201" s="36"/>
      <c r="R201" s="37" t="str">
        <f t="shared" si="10"/>
        <v/>
      </c>
      <c r="S201" s="4"/>
      <c r="T201" s="33"/>
      <c r="U201" s="33"/>
      <c r="V201" s="4"/>
      <c r="W201" s="21" t="s">
        <v>166</v>
      </c>
      <c r="X201" s="21" t="s">
        <v>166</v>
      </c>
      <c r="Y201" s="21" t="s">
        <v>140</v>
      </c>
      <c r="Z201" s="21" t="s">
        <v>140</v>
      </c>
      <c r="AA201" s="10" t="s">
        <v>108</v>
      </c>
      <c r="AB201" s="10" t="s">
        <v>123</v>
      </c>
      <c r="AC201" s="10" t="s">
        <v>108</v>
      </c>
      <c r="AD201" s="10" t="s">
        <v>123</v>
      </c>
      <c r="AE201" s="10" t="s">
        <v>108</v>
      </c>
      <c r="AF201" s="10" t="s">
        <v>123</v>
      </c>
      <c r="AG201" s="4"/>
      <c r="AH201" s="33"/>
      <c r="AI201" s="33"/>
      <c r="AJ201" s="33"/>
      <c r="AK201" s="33"/>
      <c r="AL201" s="33"/>
      <c r="AM201" s="33"/>
      <c r="AN201" s="36"/>
      <c r="AO201" s="33"/>
      <c r="AP201" s="36"/>
      <c r="AQ201" s="33"/>
      <c r="AR201" s="36"/>
      <c r="AS201" s="36"/>
      <c r="AT201" s="38"/>
    </row>
    <row r="202" spans="1:46">
      <c r="A202" s="17" t="s">
        <v>46</v>
      </c>
      <c r="B202" s="4" t="s">
        <v>301</v>
      </c>
      <c r="C202" s="4">
        <v>54</v>
      </c>
      <c r="D202" s="4" t="s">
        <v>48</v>
      </c>
      <c r="E202" s="33"/>
      <c r="F202" s="4" t="s">
        <v>49</v>
      </c>
      <c r="G202" s="19">
        <v>45589</v>
      </c>
      <c r="H202" s="19">
        <v>45463</v>
      </c>
      <c r="I202" s="19"/>
      <c r="J202" s="34" t="str">
        <f t="shared" si="9"/>
        <v/>
      </c>
      <c r="K202" s="4"/>
      <c r="L202" s="4"/>
      <c r="M202" s="33"/>
      <c r="N202" s="4"/>
      <c r="O202" s="21" t="s">
        <v>166</v>
      </c>
      <c r="P202" s="35"/>
      <c r="Q202" s="36"/>
      <c r="R202" s="37" t="str">
        <f t="shared" si="10"/>
        <v/>
      </c>
      <c r="S202" s="4"/>
      <c r="T202" s="33"/>
      <c r="U202" s="33"/>
      <c r="V202" s="4"/>
      <c r="W202" s="21" t="s">
        <v>166</v>
      </c>
      <c r="X202" s="4"/>
      <c r="Y202" s="4"/>
      <c r="Z202" s="4"/>
      <c r="AG202" s="4"/>
      <c r="AH202" s="33"/>
      <c r="AI202" s="33"/>
      <c r="AJ202" s="33"/>
      <c r="AK202" s="33"/>
      <c r="AL202" s="33"/>
      <c r="AM202" s="29" t="s">
        <v>302</v>
      </c>
      <c r="AN202" s="36"/>
      <c r="AO202" s="33"/>
      <c r="AP202" s="36"/>
      <c r="AQ202" s="33"/>
      <c r="AR202" s="36"/>
      <c r="AS202" s="36"/>
      <c r="AT202" s="38"/>
    </row>
    <row r="203" spans="1:46">
      <c r="A203" s="17" t="s">
        <v>46</v>
      </c>
      <c r="B203" s="4" t="s">
        <v>303</v>
      </c>
      <c r="C203" s="4">
        <v>49</v>
      </c>
      <c r="D203" s="4" t="s">
        <v>54</v>
      </c>
      <c r="E203" s="33"/>
      <c r="F203" s="4" t="s">
        <v>49</v>
      </c>
      <c r="G203" s="19">
        <v>45589</v>
      </c>
      <c r="H203" s="19">
        <v>45465</v>
      </c>
      <c r="I203" s="19">
        <v>45719</v>
      </c>
      <c r="J203" s="34">
        <f t="shared" si="9"/>
        <v>255</v>
      </c>
      <c r="K203" s="4"/>
      <c r="L203" s="4"/>
      <c r="M203" s="33"/>
      <c r="N203" s="4"/>
      <c r="O203" s="21" t="s">
        <v>172</v>
      </c>
      <c r="P203" s="35"/>
      <c r="Q203" s="36"/>
      <c r="R203" s="37" t="str">
        <f t="shared" si="10"/>
        <v/>
      </c>
      <c r="S203" s="4"/>
      <c r="T203" s="33"/>
      <c r="U203" s="33"/>
      <c r="V203" s="4"/>
      <c r="W203" s="21" t="s">
        <v>166</v>
      </c>
      <c r="X203" s="21" t="s">
        <v>166</v>
      </c>
      <c r="Y203" s="21" t="s">
        <v>166</v>
      </c>
      <c r="Z203" s="21" t="s">
        <v>166</v>
      </c>
      <c r="AA203" s="10" t="s">
        <v>52</v>
      </c>
      <c r="AC203" s="10" t="s">
        <v>52</v>
      </c>
      <c r="AE203" s="10" t="s">
        <v>52</v>
      </c>
      <c r="AG203" s="4"/>
      <c r="AH203" s="33"/>
      <c r="AI203" s="33"/>
      <c r="AJ203" s="33"/>
      <c r="AK203" s="33"/>
      <c r="AL203" s="33"/>
      <c r="AM203" s="11"/>
      <c r="AN203" s="36"/>
      <c r="AO203" s="33"/>
      <c r="AP203" s="36"/>
      <c r="AQ203" s="33"/>
      <c r="AR203" s="36"/>
      <c r="AS203" s="36"/>
      <c r="AT203" s="38"/>
    </row>
    <row r="204" spans="1:46">
      <c r="A204" s="17" t="s">
        <v>46</v>
      </c>
      <c r="B204" s="4" t="s">
        <v>304</v>
      </c>
      <c r="C204" s="4">
        <v>50</v>
      </c>
      <c r="D204" s="4" t="s">
        <v>48</v>
      </c>
      <c r="E204" s="33"/>
      <c r="F204" s="4" t="s">
        <v>49</v>
      </c>
      <c r="G204" s="19">
        <v>45589</v>
      </c>
      <c r="H204" s="19">
        <v>45470</v>
      </c>
      <c r="I204" s="19"/>
      <c r="J204" s="34" t="str">
        <f t="shared" si="9"/>
        <v/>
      </c>
      <c r="K204" s="4"/>
      <c r="L204" s="4"/>
      <c r="M204" s="33"/>
      <c r="N204" s="4"/>
      <c r="O204" s="21" t="s">
        <v>172</v>
      </c>
      <c r="P204" s="35"/>
      <c r="Q204" s="36"/>
      <c r="R204" s="37" t="str">
        <f t="shared" si="10"/>
        <v/>
      </c>
      <c r="S204" s="4"/>
      <c r="T204" s="33"/>
      <c r="U204" s="33"/>
      <c r="V204" s="4"/>
      <c r="W204" s="21" t="s">
        <v>166</v>
      </c>
      <c r="X204" s="4"/>
      <c r="Y204" s="4"/>
      <c r="Z204" s="4"/>
      <c r="AG204" s="4"/>
      <c r="AH204" s="33"/>
      <c r="AI204" s="33"/>
      <c r="AJ204" s="33"/>
      <c r="AK204" s="33"/>
      <c r="AL204" s="33"/>
      <c r="AM204" s="29" t="s">
        <v>305</v>
      </c>
      <c r="AN204" s="36"/>
      <c r="AO204" s="33"/>
      <c r="AP204" s="36"/>
      <c r="AQ204" s="33"/>
      <c r="AR204" s="36"/>
      <c r="AS204" s="36"/>
      <c r="AT204" s="38"/>
    </row>
    <row r="205" spans="1:46">
      <c r="A205" s="17" t="s">
        <v>46</v>
      </c>
      <c r="B205" s="4" t="s">
        <v>306</v>
      </c>
      <c r="C205" s="4">
        <v>47</v>
      </c>
      <c r="D205" s="4" t="s">
        <v>48</v>
      </c>
      <c r="E205" s="33"/>
      <c r="F205" s="4" t="s">
        <v>82</v>
      </c>
      <c r="G205" s="19">
        <v>45589</v>
      </c>
      <c r="H205" s="19">
        <v>45475</v>
      </c>
      <c r="I205" s="19"/>
      <c r="J205" s="34" t="str">
        <f t="shared" si="9"/>
        <v/>
      </c>
      <c r="K205" s="4"/>
      <c r="L205" s="4"/>
      <c r="M205" s="33"/>
      <c r="N205" s="4"/>
      <c r="O205" s="21" t="s">
        <v>166</v>
      </c>
      <c r="P205" s="35"/>
      <c r="Q205" s="36"/>
      <c r="R205" s="37" t="str">
        <f t="shared" si="10"/>
        <v/>
      </c>
      <c r="S205" s="4"/>
      <c r="T205" s="33"/>
      <c r="U205" s="33"/>
      <c r="V205" s="4"/>
      <c r="W205" s="21" t="s">
        <v>166</v>
      </c>
      <c r="X205" s="4"/>
      <c r="Y205" s="4"/>
      <c r="Z205" s="4"/>
      <c r="AG205" s="4"/>
      <c r="AH205" s="33"/>
      <c r="AI205" s="33"/>
      <c r="AJ205" s="33"/>
      <c r="AK205" s="33"/>
      <c r="AL205" s="33"/>
      <c r="AM205" s="29" t="s">
        <v>307</v>
      </c>
      <c r="AN205" s="36"/>
      <c r="AO205" s="33"/>
      <c r="AP205" s="36"/>
      <c r="AQ205" s="33"/>
      <c r="AR205" s="36"/>
      <c r="AS205" s="36"/>
      <c r="AT205" s="38"/>
    </row>
    <row r="206" spans="1:46">
      <c r="A206" s="17" t="s">
        <v>46</v>
      </c>
      <c r="B206" s="4" t="s">
        <v>308</v>
      </c>
      <c r="C206" s="4">
        <v>68</v>
      </c>
      <c r="D206" s="4" t="s">
        <v>54</v>
      </c>
      <c r="E206" s="33"/>
      <c r="F206" s="4" t="s">
        <v>56</v>
      </c>
      <c r="G206" s="19" t="s">
        <v>57</v>
      </c>
      <c r="H206" s="19">
        <v>45478</v>
      </c>
      <c r="I206" s="19"/>
      <c r="J206" s="34" t="str">
        <f t="shared" ref="J206:J224" si="11">IF(AND(H206&lt;&gt;"",I206&lt;&gt;""),I206-H206+1,"")</f>
        <v/>
      </c>
      <c r="K206" s="4"/>
      <c r="L206" s="4"/>
      <c r="M206" s="33"/>
      <c r="N206" s="4"/>
      <c r="O206" s="21" t="s">
        <v>172</v>
      </c>
      <c r="P206" s="35"/>
      <c r="Q206" s="36"/>
      <c r="R206" s="37" t="str">
        <f t="shared" ref="R206:R224" si="12">IF(AND(P206&lt;&gt;"",Q206&lt;&gt;""),P206/(Q206/100)^2,"")</f>
        <v/>
      </c>
      <c r="S206" s="4"/>
      <c r="T206" s="33"/>
      <c r="U206" s="33"/>
      <c r="V206" s="4"/>
      <c r="W206" s="21" t="s">
        <v>162</v>
      </c>
      <c r="X206" s="4"/>
      <c r="Y206" s="4"/>
      <c r="Z206" s="4"/>
      <c r="AG206" s="4"/>
      <c r="AH206" s="33"/>
      <c r="AI206" s="33"/>
      <c r="AJ206" s="33"/>
      <c r="AK206" s="33"/>
      <c r="AL206" s="33"/>
      <c r="AM206" s="29" t="s">
        <v>309</v>
      </c>
      <c r="AN206" s="36"/>
      <c r="AO206" s="33"/>
      <c r="AP206" s="36"/>
      <c r="AQ206" s="33"/>
      <c r="AR206" s="36"/>
      <c r="AS206" s="36"/>
      <c r="AT206" s="38"/>
    </row>
    <row r="207" spans="1:46">
      <c r="A207" s="17" t="s">
        <v>46</v>
      </c>
      <c r="B207" s="4" t="s">
        <v>310</v>
      </c>
      <c r="C207" s="4">
        <v>31</v>
      </c>
      <c r="D207" s="4" t="s">
        <v>54</v>
      </c>
      <c r="E207" s="33"/>
      <c r="F207" s="4" t="s">
        <v>49</v>
      </c>
      <c r="G207" s="19">
        <v>45620</v>
      </c>
      <c r="H207" s="19">
        <v>45482</v>
      </c>
      <c r="I207" s="19">
        <v>45662</v>
      </c>
      <c r="J207" s="34">
        <f t="shared" si="11"/>
        <v>181</v>
      </c>
      <c r="K207" s="4"/>
      <c r="L207" s="4"/>
      <c r="M207" s="33"/>
      <c r="N207" s="4"/>
      <c r="O207" s="21" t="s">
        <v>172</v>
      </c>
      <c r="P207" s="35"/>
      <c r="Q207" s="36"/>
      <c r="R207" s="37" t="str">
        <f t="shared" si="12"/>
        <v/>
      </c>
      <c r="S207" s="4"/>
      <c r="T207" s="33"/>
      <c r="U207" s="33"/>
      <c r="V207" s="4"/>
      <c r="W207" s="21" t="s">
        <v>166</v>
      </c>
      <c r="X207" s="21" t="s">
        <v>162</v>
      </c>
      <c r="Y207" s="21" t="s">
        <v>166</v>
      </c>
      <c r="Z207" s="21" t="s">
        <v>166</v>
      </c>
      <c r="AA207" s="10" t="s">
        <v>52</v>
      </c>
      <c r="AC207" s="10" t="s">
        <v>52</v>
      </c>
      <c r="AE207" s="10" t="s">
        <v>52</v>
      </c>
      <c r="AG207" s="4"/>
      <c r="AH207" s="33"/>
      <c r="AI207" s="33"/>
      <c r="AJ207" s="33"/>
      <c r="AK207" s="33"/>
      <c r="AL207" s="33"/>
      <c r="AM207" s="11"/>
      <c r="AN207" s="36"/>
      <c r="AO207" s="33"/>
      <c r="AP207" s="36"/>
      <c r="AQ207" s="33"/>
      <c r="AR207" s="36"/>
      <c r="AS207" s="36"/>
      <c r="AT207" s="38"/>
    </row>
    <row r="208" ht="16.65" customHeight="1" spans="1:46">
      <c r="A208" s="17" t="s">
        <v>46</v>
      </c>
      <c r="B208" s="4" t="s">
        <v>311</v>
      </c>
      <c r="C208" s="4">
        <v>77</v>
      </c>
      <c r="D208" s="4" t="s">
        <v>48</v>
      </c>
      <c r="E208" s="33"/>
      <c r="F208" s="21" t="s">
        <v>56</v>
      </c>
      <c r="G208" s="19" t="s">
        <v>57</v>
      </c>
      <c r="H208" s="19">
        <v>45495</v>
      </c>
      <c r="I208" s="19">
        <v>45784</v>
      </c>
      <c r="J208" s="34">
        <f t="shared" si="11"/>
        <v>290</v>
      </c>
      <c r="K208" s="4"/>
      <c r="L208" s="4"/>
      <c r="M208" s="33"/>
      <c r="N208" s="4"/>
      <c r="O208" s="21" t="s">
        <v>172</v>
      </c>
      <c r="P208" s="35"/>
      <c r="Q208" s="36"/>
      <c r="R208" s="37" t="str">
        <f t="shared" si="12"/>
        <v/>
      </c>
      <c r="S208" s="4"/>
      <c r="T208" s="33"/>
      <c r="U208" s="33"/>
      <c r="V208" s="4"/>
      <c r="W208" s="21" t="s">
        <v>172</v>
      </c>
      <c r="X208" s="21" t="s">
        <v>166</v>
      </c>
      <c r="Y208" s="21" t="s">
        <v>166</v>
      </c>
      <c r="Z208" s="4"/>
      <c r="AA208" s="10" t="s">
        <v>52</v>
      </c>
      <c r="AC208" s="10" t="s">
        <v>52</v>
      </c>
      <c r="AG208" s="4"/>
      <c r="AH208" s="33"/>
      <c r="AI208" s="33"/>
      <c r="AJ208" s="33"/>
      <c r="AK208" s="33"/>
      <c r="AL208" s="33"/>
      <c r="AM208" s="11"/>
      <c r="AN208" s="36"/>
      <c r="AO208" s="33"/>
      <c r="AP208" s="36"/>
      <c r="AQ208" s="33"/>
      <c r="AR208" s="36"/>
      <c r="AS208" s="36"/>
      <c r="AT208" s="38"/>
    </row>
    <row r="209" spans="1:46">
      <c r="A209" s="17" t="s">
        <v>46</v>
      </c>
      <c r="B209" s="4" t="s">
        <v>312</v>
      </c>
      <c r="C209" s="4">
        <v>66</v>
      </c>
      <c r="D209" s="4" t="s">
        <v>48</v>
      </c>
      <c r="E209" s="33"/>
      <c r="F209" s="4" t="s">
        <v>49</v>
      </c>
      <c r="G209" s="19">
        <v>45669</v>
      </c>
      <c r="H209" s="19">
        <v>45499</v>
      </c>
      <c r="I209" s="19">
        <v>45686</v>
      </c>
      <c r="J209" s="34">
        <f t="shared" si="11"/>
        <v>188</v>
      </c>
      <c r="K209" s="4"/>
      <c r="L209" s="4"/>
      <c r="M209" s="33"/>
      <c r="N209" s="4"/>
      <c r="O209" s="21" t="s">
        <v>172</v>
      </c>
      <c r="P209" s="35"/>
      <c r="Q209" s="36"/>
      <c r="R209" s="37" t="str">
        <f t="shared" si="12"/>
        <v/>
      </c>
      <c r="S209" s="4"/>
      <c r="T209" s="33"/>
      <c r="U209" s="33"/>
      <c r="V209" s="4"/>
      <c r="W209" s="21" t="s">
        <v>166</v>
      </c>
      <c r="X209" s="21" t="s">
        <v>166</v>
      </c>
      <c r="Y209" s="21" t="s">
        <v>166</v>
      </c>
      <c r="Z209" s="4"/>
      <c r="AA209" s="10" t="s">
        <v>52</v>
      </c>
      <c r="AC209" s="10" t="s">
        <v>52</v>
      </c>
      <c r="AG209" s="4"/>
      <c r="AH209" s="33"/>
      <c r="AI209" s="33"/>
      <c r="AJ209" s="33"/>
      <c r="AK209" s="33"/>
      <c r="AL209" s="33"/>
      <c r="AM209" s="11"/>
      <c r="AN209" s="36"/>
      <c r="AO209" s="33"/>
      <c r="AP209" s="36"/>
      <c r="AQ209" s="33"/>
      <c r="AR209" s="36"/>
      <c r="AS209" s="36"/>
      <c r="AT209" s="38"/>
    </row>
    <row r="210" spans="1:46">
      <c r="A210" s="17" t="s">
        <v>46</v>
      </c>
      <c r="B210" s="4" t="s">
        <v>313</v>
      </c>
      <c r="C210" s="4">
        <v>25</v>
      </c>
      <c r="D210" s="4" t="s">
        <v>54</v>
      </c>
      <c r="E210" s="33"/>
      <c r="F210" s="4" t="s">
        <v>49</v>
      </c>
      <c r="G210" s="19">
        <v>45697</v>
      </c>
      <c r="H210" s="19">
        <v>45509</v>
      </c>
      <c r="I210" s="19">
        <v>45781</v>
      </c>
      <c r="J210" s="34">
        <f t="shared" si="11"/>
        <v>273</v>
      </c>
      <c r="K210" s="4"/>
      <c r="L210" s="4"/>
      <c r="M210" s="33"/>
      <c r="N210" s="4"/>
      <c r="O210" s="21" t="s">
        <v>166</v>
      </c>
      <c r="P210" s="35"/>
      <c r="Q210" s="36"/>
      <c r="R210" s="37" t="str">
        <f t="shared" si="12"/>
        <v/>
      </c>
      <c r="S210" s="4"/>
      <c r="T210" s="33"/>
      <c r="U210" s="33"/>
      <c r="V210" s="4"/>
      <c r="W210" s="21" t="s">
        <v>166</v>
      </c>
      <c r="X210" s="21" t="s">
        <v>166</v>
      </c>
      <c r="Y210" s="21" t="s">
        <v>140</v>
      </c>
      <c r="Z210" s="21" t="s">
        <v>140</v>
      </c>
      <c r="AA210" s="10" t="s">
        <v>108</v>
      </c>
      <c r="AB210" s="10" t="s">
        <v>123</v>
      </c>
      <c r="AC210" s="10" t="s">
        <v>108</v>
      </c>
      <c r="AD210" s="10" t="s">
        <v>123</v>
      </c>
      <c r="AE210" s="10" t="s">
        <v>108</v>
      </c>
      <c r="AF210" s="10" t="s">
        <v>123</v>
      </c>
      <c r="AG210" s="4"/>
      <c r="AH210" s="33"/>
      <c r="AI210" s="33"/>
      <c r="AJ210" s="33"/>
      <c r="AK210" s="33"/>
      <c r="AL210" s="33"/>
      <c r="AM210" s="11"/>
      <c r="AN210" s="36"/>
      <c r="AO210" s="33"/>
      <c r="AP210" s="36"/>
      <c r="AQ210" s="33"/>
      <c r="AR210" s="36"/>
      <c r="AS210" s="36"/>
      <c r="AT210" s="38"/>
    </row>
    <row r="211" spans="1:46">
      <c r="A211" s="17" t="s">
        <v>46</v>
      </c>
      <c r="B211" s="4" t="s">
        <v>314</v>
      </c>
      <c r="C211" s="4">
        <v>29</v>
      </c>
      <c r="D211" s="4" t="s">
        <v>48</v>
      </c>
      <c r="E211" s="33"/>
      <c r="F211" s="4" t="s">
        <v>56</v>
      </c>
      <c r="G211" s="19" t="s">
        <v>57</v>
      </c>
      <c r="H211" s="19">
        <v>45510</v>
      </c>
      <c r="I211" s="19"/>
      <c r="J211" s="34" t="str">
        <f t="shared" si="11"/>
        <v/>
      </c>
      <c r="K211" s="4"/>
      <c r="L211" s="4"/>
      <c r="M211" s="33"/>
      <c r="N211" s="4"/>
      <c r="O211" s="21" t="s">
        <v>172</v>
      </c>
      <c r="P211" s="35"/>
      <c r="Q211" s="36"/>
      <c r="R211" s="37" t="str">
        <f t="shared" si="12"/>
        <v/>
      </c>
      <c r="S211" s="4"/>
      <c r="T211" s="33"/>
      <c r="U211" s="33"/>
      <c r="V211" s="4"/>
      <c r="W211" s="4"/>
      <c r="X211" s="4"/>
      <c r="Y211" s="4"/>
      <c r="Z211" s="4"/>
      <c r="AG211" s="4"/>
      <c r="AH211" s="33"/>
      <c r="AI211" s="33"/>
      <c r="AJ211" s="33"/>
      <c r="AK211" s="33"/>
      <c r="AL211" s="33"/>
      <c r="AM211" s="29" t="s">
        <v>315</v>
      </c>
      <c r="AN211" s="36"/>
      <c r="AO211" s="33"/>
      <c r="AP211" s="36"/>
      <c r="AQ211" s="33"/>
      <c r="AR211" s="36"/>
      <c r="AS211" s="36"/>
      <c r="AT211" s="38"/>
    </row>
    <row r="212" spans="1:46">
      <c r="A212" s="17" t="s">
        <v>46</v>
      </c>
      <c r="B212" s="4" t="s">
        <v>316</v>
      </c>
      <c r="C212" s="4">
        <v>23</v>
      </c>
      <c r="D212" s="4" t="s">
        <v>54</v>
      </c>
      <c r="E212" s="33"/>
      <c r="F212" s="4" t="s">
        <v>82</v>
      </c>
      <c r="G212" s="19">
        <v>45697</v>
      </c>
      <c r="H212" s="19">
        <v>45521</v>
      </c>
      <c r="I212" s="19">
        <v>45802</v>
      </c>
      <c r="J212" s="34">
        <f t="shared" si="11"/>
        <v>282</v>
      </c>
      <c r="K212" s="4"/>
      <c r="L212" s="4"/>
      <c r="M212" s="33"/>
      <c r="N212" s="4"/>
      <c r="O212" s="21" t="s">
        <v>166</v>
      </c>
      <c r="P212" s="35"/>
      <c r="Q212" s="36"/>
      <c r="R212" s="37" t="str">
        <f t="shared" si="12"/>
        <v/>
      </c>
      <c r="S212" s="4"/>
      <c r="T212" s="33"/>
      <c r="U212" s="33"/>
      <c r="V212" s="4"/>
      <c r="W212" s="21" t="s">
        <v>166</v>
      </c>
      <c r="X212" s="21" t="s">
        <v>166</v>
      </c>
      <c r="Y212" s="21" t="s">
        <v>140</v>
      </c>
      <c r="Z212" s="21" t="s">
        <v>140</v>
      </c>
      <c r="AA212" s="10" t="s">
        <v>108</v>
      </c>
      <c r="AB212" s="10" t="s">
        <v>123</v>
      </c>
      <c r="AC212" s="10" t="s">
        <v>108</v>
      </c>
      <c r="AD212" s="10" t="s">
        <v>123</v>
      </c>
      <c r="AE212" s="10" t="s">
        <v>108</v>
      </c>
      <c r="AF212" s="10" t="s">
        <v>123</v>
      </c>
      <c r="AG212" s="4"/>
      <c r="AH212" s="33"/>
      <c r="AI212" s="33"/>
      <c r="AJ212" s="33"/>
      <c r="AK212" s="33"/>
      <c r="AL212" s="33"/>
      <c r="AM212" s="11"/>
      <c r="AN212" s="36"/>
      <c r="AO212" s="33"/>
      <c r="AP212" s="36"/>
      <c r="AQ212" s="33"/>
      <c r="AR212" s="36"/>
      <c r="AS212" s="36"/>
      <c r="AT212" s="38"/>
    </row>
    <row r="213" spans="1:46">
      <c r="A213" s="17" t="s">
        <v>46</v>
      </c>
      <c r="B213" s="4" t="s">
        <v>317</v>
      </c>
      <c r="C213" s="4">
        <v>30</v>
      </c>
      <c r="D213" s="4" t="s">
        <v>48</v>
      </c>
      <c r="E213" s="33"/>
      <c r="F213" s="4" t="s">
        <v>64</v>
      </c>
      <c r="G213" s="19" t="s">
        <v>57</v>
      </c>
      <c r="H213" s="19">
        <v>45544</v>
      </c>
      <c r="I213" s="19">
        <v>45753</v>
      </c>
      <c r="J213" s="34">
        <f t="shared" si="11"/>
        <v>210</v>
      </c>
      <c r="K213" s="4"/>
      <c r="L213" s="4"/>
      <c r="M213" s="33"/>
      <c r="N213" s="4"/>
      <c r="O213" s="21" t="s">
        <v>172</v>
      </c>
      <c r="P213" s="35"/>
      <c r="Q213" s="36"/>
      <c r="R213" s="37" t="str">
        <f t="shared" si="12"/>
        <v/>
      </c>
      <c r="S213" s="4"/>
      <c r="T213" s="33"/>
      <c r="U213" s="33"/>
      <c r="V213" s="4"/>
      <c r="W213" s="21" t="s">
        <v>172</v>
      </c>
      <c r="X213" s="21" t="s">
        <v>166</v>
      </c>
      <c r="Y213" s="21" t="s">
        <v>166</v>
      </c>
      <c r="Z213" s="21" t="s">
        <v>140</v>
      </c>
      <c r="AA213" s="10" t="s">
        <v>52</v>
      </c>
      <c r="AC213" s="10" t="s">
        <v>52</v>
      </c>
      <c r="AG213" s="4"/>
      <c r="AH213" s="33"/>
      <c r="AI213" s="33"/>
      <c r="AJ213" s="33"/>
      <c r="AK213" s="33"/>
      <c r="AL213" s="33"/>
      <c r="AM213" s="11"/>
      <c r="AN213" s="36"/>
      <c r="AO213" s="33"/>
      <c r="AP213" s="36"/>
      <c r="AQ213" s="33"/>
      <c r="AR213" s="36"/>
      <c r="AS213" s="36"/>
      <c r="AT213" s="38"/>
    </row>
    <row r="214" spans="1:46">
      <c r="A214" s="17" t="s">
        <v>46</v>
      </c>
      <c r="B214" s="4" t="s">
        <v>318</v>
      </c>
      <c r="C214" s="4">
        <v>56</v>
      </c>
      <c r="D214" s="4" t="s">
        <v>48</v>
      </c>
      <c r="E214" s="33"/>
      <c r="F214" s="4" t="s">
        <v>64</v>
      </c>
      <c r="G214" s="19" t="s">
        <v>57</v>
      </c>
      <c r="H214" s="19">
        <v>45545</v>
      </c>
      <c r="I214" s="19">
        <v>45689</v>
      </c>
      <c r="J214" s="34">
        <f t="shared" si="11"/>
        <v>145</v>
      </c>
      <c r="K214" s="4"/>
      <c r="L214" s="4"/>
      <c r="M214" s="33"/>
      <c r="N214" s="4"/>
      <c r="O214" s="21" t="s">
        <v>172</v>
      </c>
      <c r="P214" s="35"/>
      <c r="Q214" s="36"/>
      <c r="R214" s="37" t="str">
        <f t="shared" si="12"/>
        <v/>
      </c>
      <c r="S214" s="4"/>
      <c r="T214" s="33"/>
      <c r="U214" s="33"/>
      <c r="V214" s="4"/>
      <c r="W214" s="21" t="s">
        <v>166</v>
      </c>
      <c r="X214" s="21" t="s">
        <v>162</v>
      </c>
      <c r="Y214" s="21" t="s">
        <v>140</v>
      </c>
      <c r="Z214" s="21" t="s">
        <v>140</v>
      </c>
      <c r="AA214" s="10" t="s">
        <v>108</v>
      </c>
      <c r="AB214" s="10" t="s">
        <v>123</v>
      </c>
      <c r="AC214" s="10" t="s">
        <v>108</v>
      </c>
      <c r="AD214" s="10" t="s">
        <v>123</v>
      </c>
      <c r="AE214" s="10" t="s">
        <v>108</v>
      </c>
      <c r="AF214" s="10" t="s">
        <v>123</v>
      </c>
      <c r="AG214" s="4"/>
      <c r="AH214" s="33"/>
      <c r="AI214" s="33"/>
      <c r="AJ214" s="33"/>
      <c r="AK214" s="33"/>
      <c r="AL214" s="33"/>
      <c r="AM214" s="11"/>
      <c r="AN214" s="36"/>
      <c r="AO214" s="33"/>
      <c r="AP214" s="36"/>
      <c r="AQ214" s="33"/>
      <c r="AR214" s="36"/>
      <c r="AS214" s="36"/>
      <c r="AT214" s="38"/>
    </row>
    <row r="215" spans="1:46">
      <c r="A215" s="17" t="s">
        <v>46</v>
      </c>
      <c r="B215" s="4" t="s">
        <v>319</v>
      </c>
      <c r="C215" s="4">
        <v>25</v>
      </c>
      <c r="D215" s="4" t="s">
        <v>48</v>
      </c>
      <c r="E215" s="33"/>
      <c r="F215" s="4" t="s">
        <v>78</v>
      </c>
      <c r="G215" s="19" t="s">
        <v>57</v>
      </c>
      <c r="H215" s="19">
        <v>45553</v>
      </c>
      <c r="I215" s="19">
        <v>45888</v>
      </c>
      <c r="J215" s="34">
        <f t="shared" si="11"/>
        <v>336</v>
      </c>
      <c r="K215" s="4"/>
      <c r="L215" s="4"/>
      <c r="M215" s="33"/>
      <c r="N215" s="4"/>
      <c r="O215" s="21" t="s">
        <v>172</v>
      </c>
      <c r="P215" s="35"/>
      <c r="Q215" s="36"/>
      <c r="R215" s="37" t="str">
        <f t="shared" si="12"/>
        <v/>
      </c>
      <c r="S215" s="4"/>
      <c r="T215" s="33"/>
      <c r="U215" s="33"/>
      <c r="V215" s="4"/>
      <c r="W215" s="21" t="s">
        <v>166</v>
      </c>
      <c r="X215" s="21" t="s">
        <v>166</v>
      </c>
      <c r="Y215" s="4"/>
      <c r="Z215" s="4"/>
      <c r="AA215" s="10" t="s">
        <v>52</v>
      </c>
      <c r="AG215" s="4"/>
      <c r="AH215" s="33"/>
      <c r="AI215" s="33"/>
      <c r="AJ215" s="33"/>
      <c r="AK215" s="33"/>
      <c r="AL215" s="33"/>
      <c r="AM215" s="11"/>
      <c r="AN215" s="36"/>
      <c r="AO215" s="33"/>
      <c r="AP215" s="36"/>
      <c r="AQ215" s="33"/>
      <c r="AR215" s="36"/>
      <c r="AS215" s="36"/>
      <c r="AT215" s="38"/>
    </row>
    <row r="216" spans="1:46">
      <c r="A216" s="17" t="s">
        <v>46</v>
      </c>
      <c r="B216" s="4" t="s">
        <v>320</v>
      </c>
      <c r="C216" s="4">
        <v>29</v>
      </c>
      <c r="D216" s="4" t="s">
        <v>48</v>
      </c>
      <c r="E216" s="33"/>
      <c r="F216" s="4" t="s">
        <v>49</v>
      </c>
      <c r="G216" s="19">
        <v>45697</v>
      </c>
      <c r="H216" s="19">
        <v>45574</v>
      </c>
      <c r="I216" s="19">
        <v>45792</v>
      </c>
      <c r="J216" s="34">
        <f t="shared" si="11"/>
        <v>219</v>
      </c>
      <c r="K216" s="4"/>
      <c r="L216" s="4"/>
      <c r="M216" s="33"/>
      <c r="N216" s="4"/>
      <c r="O216" s="21" t="s">
        <v>172</v>
      </c>
      <c r="P216" s="35"/>
      <c r="Q216" s="36"/>
      <c r="R216" s="37" t="str">
        <f t="shared" si="12"/>
        <v/>
      </c>
      <c r="S216" s="4"/>
      <c r="T216" s="33"/>
      <c r="U216" s="33"/>
      <c r="V216" s="4"/>
      <c r="W216" s="21" t="s">
        <v>166</v>
      </c>
      <c r="X216" s="21" t="s">
        <v>162</v>
      </c>
      <c r="Y216" s="21" t="s">
        <v>140</v>
      </c>
      <c r="Z216" s="21" t="s">
        <v>140</v>
      </c>
      <c r="AA216" s="10" t="s">
        <v>52</v>
      </c>
      <c r="AC216" s="10" t="s">
        <v>52</v>
      </c>
      <c r="AG216" s="4"/>
      <c r="AH216" s="33"/>
      <c r="AI216" s="33"/>
      <c r="AJ216" s="33"/>
      <c r="AK216" s="33"/>
      <c r="AL216" s="33"/>
      <c r="AM216" s="11"/>
      <c r="AN216" s="36"/>
      <c r="AO216" s="33"/>
      <c r="AP216" s="36"/>
      <c r="AQ216" s="33"/>
      <c r="AR216" s="36"/>
      <c r="AS216" s="36"/>
      <c r="AT216" s="38"/>
    </row>
    <row r="217" spans="1:46">
      <c r="A217" s="17" t="s">
        <v>46</v>
      </c>
      <c r="B217" s="4" t="s">
        <v>321</v>
      </c>
      <c r="C217" s="4">
        <v>56</v>
      </c>
      <c r="D217" s="4" t="s">
        <v>48</v>
      </c>
      <c r="E217" s="33"/>
      <c r="F217" s="4" t="s">
        <v>49</v>
      </c>
      <c r="G217" s="19">
        <v>45697</v>
      </c>
      <c r="H217" s="19">
        <v>45575</v>
      </c>
      <c r="I217" s="19">
        <v>45753</v>
      </c>
      <c r="J217" s="34">
        <f t="shared" si="11"/>
        <v>179</v>
      </c>
      <c r="K217" s="4"/>
      <c r="L217" s="4"/>
      <c r="M217" s="33"/>
      <c r="N217" s="4"/>
      <c r="O217" s="21" t="s">
        <v>172</v>
      </c>
      <c r="P217" s="35"/>
      <c r="Q217" s="36"/>
      <c r="R217" s="37" t="str">
        <f t="shared" si="12"/>
        <v/>
      </c>
      <c r="S217" s="4"/>
      <c r="T217" s="33"/>
      <c r="U217" s="33"/>
      <c r="V217" s="4"/>
      <c r="W217" s="21" t="s">
        <v>166</v>
      </c>
      <c r="X217" s="21" t="s">
        <v>166</v>
      </c>
      <c r="Y217" s="21" t="s">
        <v>166</v>
      </c>
      <c r="Z217" s="4"/>
      <c r="AG217" s="4"/>
      <c r="AH217" s="33"/>
      <c r="AI217" s="33"/>
      <c r="AJ217" s="33"/>
      <c r="AK217" s="33"/>
      <c r="AL217" s="33"/>
      <c r="AM217" s="11"/>
      <c r="AN217" s="36"/>
      <c r="AO217" s="33"/>
      <c r="AP217" s="36"/>
      <c r="AQ217" s="33"/>
      <c r="AR217" s="36"/>
      <c r="AS217" s="36"/>
      <c r="AT217" s="38"/>
    </row>
    <row r="218" spans="1:46">
      <c r="A218" s="17" t="s">
        <v>46</v>
      </c>
      <c r="B218" s="4" t="s">
        <v>322</v>
      </c>
      <c r="C218" s="4">
        <v>67</v>
      </c>
      <c r="D218" s="4" t="s">
        <v>48</v>
      </c>
      <c r="E218" s="33"/>
      <c r="F218" s="4" t="s">
        <v>49</v>
      </c>
      <c r="G218" s="19">
        <v>45868</v>
      </c>
      <c r="H218" s="19">
        <v>45643</v>
      </c>
      <c r="I218" s="19"/>
      <c r="J218" s="34" t="str">
        <f t="shared" si="11"/>
        <v/>
      </c>
      <c r="K218" s="4"/>
      <c r="L218" s="4"/>
      <c r="M218" s="33"/>
      <c r="N218" s="4"/>
      <c r="O218" s="21" t="s">
        <v>172</v>
      </c>
      <c r="P218" s="35"/>
      <c r="Q218" s="36"/>
      <c r="R218" s="37" t="str">
        <f t="shared" si="12"/>
        <v/>
      </c>
      <c r="S218" s="4"/>
      <c r="T218" s="33"/>
      <c r="U218" s="33"/>
      <c r="V218" s="4"/>
      <c r="W218" s="21" t="s">
        <v>166</v>
      </c>
      <c r="X218" s="4"/>
      <c r="Y218" s="4"/>
      <c r="Z218" s="4"/>
      <c r="AG218" s="4"/>
      <c r="AH218" s="33"/>
      <c r="AI218" s="33"/>
      <c r="AJ218" s="33"/>
      <c r="AK218" s="33"/>
      <c r="AL218" s="33"/>
      <c r="AM218" s="29" t="s">
        <v>323</v>
      </c>
      <c r="AN218" s="36"/>
      <c r="AO218" s="33"/>
      <c r="AP218" s="36"/>
      <c r="AQ218" s="33"/>
      <c r="AR218" s="36"/>
      <c r="AS218" s="36"/>
      <c r="AT218" s="38"/>
    </row>
    <row r="219" spans="1:46">
      <c r="A219" s="17" t="s">
        <v>46</v>
      </c>
      <c r="B219" s="4" t="s">
        <v>324</v>
      </c>
      <c r="C219" s="4">
        <v>59</v>
      </c>
      <c r="D219" s="4" t="s">
        <v>48</v>
      </c>
      <c r="E219" s="33"/>
      <c r="F219" s="4" t="s">
        <v>49</v>
      </c>
      <c r="G219" s="19">
        <v>45868</v>
      </c>
      <c r="H219" s="19">
        <v>45656</v>
      </c>
      <c r="I219" s="19"/>
      <c r="J219" s="34" t="str">
        <f t="shared" si="11"/>
        <v/>
      </c>
      <c r="K219" s="4"/>
      <c r="L219" s="4"/>
      <c r="M219" s="33"/>
      <c r="N219" s="4"/>
      <c r="O219" s="21" t="s">
        <v>172</v>
      </c>
      <c r="P219" s="35"/>
      <c r="Q219" s="36"/>
      <c r="R219" s="37" t="str">
        <f t="shared" si="12"/>
        <v/>
      </c>
      <c r="S219" s="4"/>
      <c r="T219" s="33"/>
      <c r="U219" s="33"/>
      <c r="V219" s="4"/>
      <c r="W219" s="21" t="s">
        <v>162</v>
      </c>
      <c r="X219" s="4"/>
      <c r="Y219" s="4"/>
      <c r="Z219" s="4"/>
      <c r="AG219" s="4"/>
      <c r="AH219" s="33"/>
      <c r="AI219" s="33"/>
      <c r="AJ219" s="33"/>
      <c r="AK219" s="33"/>
      <c r="AL219" s="33"/>
      <c r="AM219" s="29" t="s">
        <v>325</v>
      </c>
      <c r="AN219" s="36"/>
      <c r="AO219" s="33"/>
      <c r="AP219" s="36"/>
      <c r="AQ219" s="33"/>
      <c r="AR219" s="36"/>
      <c r="AS219" s="36"/>
      <c r="AT219" s="38"/>
    </row>
    <row r="220" spans="1:46">
      <c r="A220" s="17" t="s">
        <v>46</v>
      </c>
      <c r="B220" s="4" t="s">
        <v>326</v>
      </c>
      <c r="C220" s="4">
        <v>58</v>
      </c>
      <c r="D220" s="4" t="s">
        <v>48</v>
      </c>
      <c r="E220" s="33"/>
      <c r="F220" s="4" t="s">
        <v>78</v>
      </c>
      <c r="G220" s="19" t="s">
        <v>57</v>
      </c>
      <c r="H220" s="19">
        <v>45734</v>
      </c>
      <c r="I220" s="19">
        <v>46012</v>
      </c>
      <c r="J220" s="34">
        <f t="shared" si="11"/>
        <v>279</v>
      </c>
      <c r="K220" s="4"/>
      <c r="L220" s="4"/>
      <c r="M220" s="33"/>
      <c r="N220" s="4"/>
      <c r="O220" s="21" t="s">
        <v>172</v>
      </c>
      <c r="P220" s="35"/>
      <c r="Q220" s="36"/>
      <c r="R220" s="37" t="str">
        <f t="shared" si="12"/>
        <v/>
      </c>
      <c r="S220" s="4"/>
      <c r="T220" s="33"/>
      <c r="U220" s="33"/>
      <c r="V220" s="4"/>
      <c r="W220" s="21" t="s">
        <v>166</v>
      </c>
      <c r="X220" s="21" t="s">
        <v>166</v>
      </c>
      <c r="Y220" s="4"/>
      <c r="Z220" s="4"/>
      <c r="AG220" s="4"/>
      <c r="AH220" s="33"/>
      <c r="AI220" s="33"/>
      <c r="AJ220" s="33"/>
      <c r="AK220" s="33"/>
      <c r="AL220" s="33"/>
      <c r="AM220" s="11"/>
      <c r="AN220" s="36"/>
      <c r="AO220" s="33"/>
      <c r="AP220" s="36"/>
      <c r="AQ220" s="33"/>
      <c r="AR220" s="36"/>
      <c r="AS220" s="36"/>
      <c r="AT220" s="38"/>
    </row>
    <row r="221" spans="1:46">
      <c r="A221" s="17" t="s">
        <v>46</v>
      </c>
      <c r="B221" s="4" t="s">
        <v>327</v>
      </c>
      <c r="C221" s="4">
        <v>29</v>
      </c>
      <c r="D221" s="4" t="s">
        <v>54</v>
      </c>
      <c r="E221" s="33"/>
      <c r="F221" s="4" t="s">
        <v>49</v>
      </c>
      <c r="G221" s="19">
        <v>45943</v>
      </c>
      <c r="H221" s="19">
        <v>45767</v>
      </c>
      <c r="I221" s="19">
        <v>46033</v>
      </c>
      <c r="J221" s="34">
        <f t="shared" si="11"/>
        <v>267</v>
      </c>
      <c r="K221" s="4"/>
      <c r="L221" s="4"/>
      <c r="M221" s="33"/>
      <c r="N221" s="4"/>
      <c r="O221" s="21" t="s">
        <v>166</v>
      </c>
      <c r="P221" s="35"/>
      <c r="Q221" s="36"/>
      <c r="R221" s="37" t="str">
        <f t="shared" si="12"/>
        <v/>
      </c>
      <c r="S221" s="4"/>
      <c r="T221" s="33"/>
      <c r="U221" s="33"/>
      <c r="V221" s="4"/>
      <c r="W221" s="21" t="s">
        <v>166</v>
      </c>
      <c r="X221" s="21" t="s">
        <v>166</v>
      </c>
      <c r="Y221" s="4"/>
      <c r="Z221" s="4"/>
      <c r="AG221" s="4"/>
      <c r="AH221" s="33"/>
      <c r="AI221" s="33"/>
      <c r="AJ221" s="33"/>
      <c r="AK221" s="33"/>
      <c r="AL221" s="33"/>
      <c r="AM221" s="11"/>
      <c r="AN221" s="36"/>
      <c r="AO221" s="33"/>
      <c r="AP221" s="36"/>
      <c r="AQ221" s="33"/>
      <c r="AR221" s="36"/>
      <c r="AS221" s="36"/>
      <c r="AT221" s="38"/>
    </row>
    <row r="222" spans="1:46">
      <c r="A222" s="17" t="s">
        <v>46</v>
      </c>
      <c r="B222" s="4" t="s">
        <v>328</v>
      </c>
      <c r="C222" s="4">
        <v>50</v>
      </c>
      <c r="D222" s="4" t="s">
        <v>48</v>
      </c>
      <c r="E222" s="33"/>
      <c r="F222" s="4" t="s">
        <v>64</v>
      </c>
      <c r="G222" s="19" t="s">
        <v>57</v>
      </c>
      <c r="H222" s="19">
        <v>45781</v>
      </c>
      <c r="I222" s="19"/>
      <c r="J222" s="34" t="str">
        <f t="shared" si="11"/>
        <v/>
      </c>
      <c r="K222" s="4"/>
      <c r="L222" s="4"/>
      <c r="M222" s="33"/>
      <c r="N222" s="4"/>
      <c r="O222" s="4"/>
      <c r="P222" s="35"/>
      <c r="Q222" s="36"/>
      <c r="R222" s="37" t="str">
        <f t="shared" si="12"/>
        <v/>
      </c>
      <c r="S222" s="4"/>
      <c r="T222" s="33"/>
      <c r="U222" s="33"/>
      <c r="V222" s="4"/>
      <c r="W222" s="4"/>
      <c r="X222" s="4"/>
      <c r="Y222" s="4"/>
      <c r="Z222" s="4"/>
      <c r="AG222" s="4"/>
      <c r="AH222" s="33"/>
      <c r="AI222" s="33"/>
      <c r="AJ222" s="33"/>
      <c r="AK222" s="33"/>
      <c r="AL222" s="33"/>
      <c r="AM222" s="29" t="s">
        <v>329</v>
      </c>
      <c r="AN222" s="36"/>
      <c r="AO222" s="33"/>
      <c r="AP222" s="36"/>
      <c r="AQ222" s="33"/>
      <c r="AR222" s="36"/>
      <c r="AS222" s="36"/>
      <c r="AT222" s="38"/>
    </row>
    <row r="223" spans="1:46">
      <c r="A223" s="17" t="s">
        <v>46</v>
      </c>
      <c r="B223" s="4" t="s">
        <v>330</v>
      </c>
      <c r="C223" s="4">
        <v>20</v>
      </c>
      <c r="D223" s="4" t="s">
        <v>48</v>
      </c>
      <c r="E223" s="33"/>
      <c r="F223" s="4" t="s">
        <v>49</v>
      </c>
      <c r="G223" s="19" t="s">
        <v>57</v>
      </c>
      <c r="H223" s="19">
        <v>45840</v>
      </c>
      <c r="I223" s="19">
        <v>46024</v>
      </c>
      <c r="J223" s="34">
        <f t="shared" si="11"/>
        <v>185</v>
      </c>
      <c r="K223" s="4"/>
      <c r="L223" s="4"/>
      <c r="M223" s="33"/>
      <c r="N223" s="4"/>
      <c r="O223" s="21" t="s">
        <v>172</v>
      </c>
      <c r="P223" s="35"/>
      <c r="Q223" s="36"/>
      <c r="R223" s="37" t="str">
        <f t="shared" si="12"/>
        <v/>
      </c>
      <c r="S223" s="4"/>
      <c r="T223" s="33"/>
      <c r="U223" s="33"/>
      <c r="V223" s="4"/>
      <c r="W223" s="21" t="s">
        <v>166</v>
      </c>
      <c r="X223" s="4"/>
      <c r="Y223" s="4"/>
      <c r="Z223" s="4"/>
      <c r="AG223" s="4"/>
      <c r="AH223" s="33"/>
      <c r="AI223" s="33"/>
      <c r="AJ223" s="33"/>
      <c r="AK223" s="33"/>
      <c r="AL223" s="33"/>
      <c r="AM223" s="29" t="s">
        <v>331</v>
      </c>
      <c r="AN223" s="36"/>
      <c r="AO223" s="33"/>
      <c r="AP223" s="36"/>
      <c r="AQ223" s="33"/>
      <c r="AR223" s="36"/>
      <c r="AS223" s="36"/>
      <c r="AT223" s="38"/>
    </row>
    <row r="224" spans="1:46">
      <c r="A224" s="17" t="s">
        <v>46</v>
      </c>
      <c r="B224" s="4" t="s">
        <v>332</v>
      </c>
      <c r="C224" s="4">
        <v>60</v>
      </c>
      <c r="D224" s="4" t="s">
        <v>48</v>
      </c>
      <c r="E224" s="33"/>
      <c r="F224" s="4" t="s">
        <v>82</v>
      </c>
      <c r="G224" s="19" t="s">
        <v>57</v>
      </c>
      <c r="H224" s="19">
        <v>45863</v>
      </c>
      <c r="I224" s="19"/>
      <c r="J224" s="34" t="str">
        <f t="shared" si="11"/>
        <v/>
      </c>
      <c r="K224" s="4"/>
      <c r="L224" s="4"/>
      <c r="M224" s="33"/>
      <c r="N224" s="4"/>
      <c r="O224" s="21" t="s">
        <v>172</v>
      </c>
      <c r="P224" s="35"/>
      <c r="Q224" s="36"/>
      <c r="R224" s="37" t="str">
        <f t="shared" si="12"/>
        <v/>
      </c>
      <c r="S224" s="4"/>
      <c r="T224" s="33"/>
      <c r="U224" s="33"/>
      <c r="V224" s="4"/>
      <c r="W224" s="21" t="s">
        <v>166</v>
      </c>
      <c r="X224" s="4"/>
      <c r="Y224" s="4"/>
      <c r="Z224" s="4"/>
      <c r="AG224" s="4"/>
      <c r="AH224" s="33"/>
      <c r="AI224" s="33"/>
      <c r="AJ224" s="33"/>
      <c r="AK224" s="33"/>
      <c r="AL224" s="33"/>
      <c r="AM224" s="29" t="s">
        <v>238</v>
      </c>
      <c r="AN224" s="36"/>
      <c r="AO224" s="33"/>
      <c r="AP224" s="36"/>
      <c r="AQ224" s="33"/>
      <c r="AR224" s="36"/>
      <c r="AS224" s="36"/>
      <c r="AT224" s="38"/>
    </row>
    <row r="225" spans="1:46">
      <c r="A225" s="17" t="s">
        <v>46</v>
      </c>
      <c r="B225" s="4" t="s">
        <v>333</v>
      </c>
      <c r="C225" s="4">
        <v>66</v>
      </c>
      <c r="D225" s="4" t="s">
        <v>48</v>
      </c>
      <c r="E225" s="4"/>
      <c r="F225" s="4" t="s">
        <v>56</v>
      </c>
      <c r="G225" s="19" t="s">
        <v>57</v>
      </c>
      <c r="H225" s="19">
        <v>44908</v>
      </c>
      <c r="I225" s="19">
        <v>45408</v>
      </c>
      <c r="J225" s="34">
        <f t="shared" ref="J225:J256" si="13">IF(AND(H225&lt;&gt;"",I225&lt;&gt;""),I225-H225+1,"")</f>
        <v>501</v>
      </c>
      <c r="K225" s="4"/>
      <c r="L225" s="4"/>
      <c r="M225" s="33"/>
      <c r="N225" s="4"/>
      <c r="O225" s="21" t="s">
        <v>172</v>
      </c>
      <c r="P225" s="35"/>
      <c r="Q225" s="36"/>
      <c r="R225" s="37" t="str">
        <f t="shared" ref="R225:R256" si="14">IF(AND(P225&lt;&gt;"",Q225&lt;&gt;""),P225/(Q225/100)^2,"")</f>
        <v/>
      </c>
      <c r="S225" s="4"/>
      <c r="T225" s="33"/>
      <c r="U225" s="33"/>
      <c r="V225" s="4"/>
      <c r="W225" s="21" t="s">
        <v>172</v>
      </c>
      <c r="X225" s="21" t="s">
        <v>166</v>
      </c>
      <c r="Y225" s="21" t="s">
        <v>166</v>
      </c>
      <c r="Z225" s="21" t="s">
        <v>166</v>
      </c>
      <c r="AA225" s="10" t="s">
        <v>52</v>
      </c>
      <c r="AC225" s="10" t="s">
        <v>52</v>
      </c>
      <c r="AE225" s="10" t="s">
        <v>52</v>
      </c>
      <c r="AG225" s="4"/>
      <c r="AH225" s="33"/>
      <c r="AI225" s="33"/>
      <c r="AJ225" s="33"/>
      <c r="AK225" s="33"/>
      <c r="AL225" s="33"/>
      <c r="AM225" s="11"/>
      <c r="AN225" s="36"/>
      <c r="AO225" s="33"/>
      <c r="AP225" s="36"/>
      <c r="AQ225" s="33"/>
      <c r="AR225" s="36"/>
      <c r="AS225" s="36"/>
      <c r="AT225" s="38"/>
    </row>
    <row r="226" spans="1:46">
      <c r="A226" s="17" t="s">
        <v>46</v>
      </c>
      <c r="B226" s="4" t="s">
        <v>334</v>
      </c>
      <c r="C226" s="4">
        <v>20</v>
      </c>
      <c r="D226" s="4" t="s">
        <v>48</v>
      </c>
      <c r="E226" s="4"/>
      <c r="F226" s="4" t="s">
        <v>56</v>
      </c>
      <c r="G226" s="19" t="s">
        <v>57</v>
      </c>
      <c r="H226" s="19">
        <v>44909</v>
      </c>
      <c r="I226" s="19">
        <v>45186</v>
      </c>
      <c r="J226" s="34">
        <f t="shared" si="13"/>
        <v>278</v>
      </c>
      <c r="K226" s="4"/>
      <c r="L226" s="4"/>
      <c r="M226" s="33"/>
      <c r="N226" s="4"/>
      <c r="O226" s="21" t="s">
        <v>172</v>
      </c>
      <c r="P226" s="35"/>
      <c r="Q226" s="36"/>
      <c r="R226" s="37" t="str">
        <f t="shared" si="14"/>
        <v/>
      </c>
      <c r="S226" s="4"/>
      <c r="T226" s="33"/>
      <c r="U226" s="33"/>
      <c r="V226" s="4"/>
      <c r="W226" s="21" t="s">
        <v>166</v>
      </c>
      <c r="X226" s="21" t="s">
        <v>166</v>
      </c>
      <c r="Y226" s="21" t="s">
        <v>166</v>
      </c>
      <c r="Z226" s="21" t="s">
        <v>166</v>
      </c>
      <c r="AA226" s="10" t="s">
        <v>52</v>
      </c>
      <c r="AC226" s="10" t="s">
        <v>52</v>
      </c>
      <c r="AE226" s="10" t="s">
        <v>52</v>
      </c>
      <c r="AG226" s="4"/>
      <c r="AH226" s="33"/>
      <c r="AI226" s="33"/>
      <c r="AJ226" s="33"/>
      <c r="AK226" s="33"/>
      <c r="AL226" s="33"/>
      <c r="AM226" s="11"/>
      <c r="AN226" s="36"/>
      <c r="AO226" s="33"/>
      <c r="AP226" s="36"/>
      <c r="AQ226" s="33"/>
      <c r="AR226" s="36"/>
      <c r="AS226" s="36"/>
      <c r="AT226" s="38"/>
    </row>
    <row r="227" spans="1:46">
      <c r="A227" s="17" t="s">
        <v>46</v>
      </c>
      <c r="B227" s="4" t="s">
        <v>335</v>
      </c>
      <c r="C227" s="4">
        <v>37</v>
      </c>
      <c r="D227" s="4" t="s">
        <v>48</v>
      </c>
      <c r="E227" s="4"/>
      <c r="F227" s="4" t="s">
        <v>49</v>
      </c>
      <c r="G227" s="19" t="s">
        <v>57</v>
      </c>
      <c r="H227" s="19">
        <v>44909</v>
      </c>
      <c r="I227" s="19">
        <v>45091</v>
      </c>
      <c r="J227" s="34">
        <f t="shared" si="13"/>
        <v>183</v>
      </c>
      <c r="K227" s="4"/>
      <c r="L227" s="4"/>
      <c r="M227" s="33"/>
      <c r="N227" s="4"/>
      <c r="O227" s="21" t="s">
        <v>172</v>
      </c>
      <c r="P227" s="35"/>
      <c r="Q227" s="36"/>
      <c r="R227" s="37" t="str">
        <f t="shared" si="14"/>
        <v/>
      </c>
      <c r="S227" s="4"/>
      <c r="T227" s="33"/>
      <c r="U227" s="33"/>
      <c r="V227" s="4"/>
      <c r="W227" s="21" t="s">
        <v>166</v>
      </c>
      <c r="X227" s="21" t="s">
        <v>166</v>
      </c>
      <c r="Y227" s="21" t="s">
        <v>166</v>
      </c>
      <c r="Z227" s="21" t="s">
        <v>166</v>
      </c>
      <c r="AA227" s="10" t="s">
        <v>52</v>
      </c>
      <c r="AC227" s="10" t="s">
        <v>52</v>
      </c>
      <c r="AE227" s="10" t="s">
        <v>52</v>
      </c>
      <c r="AG227" s="4"/>
      <c r="AH227" s="33"/>
      <c r="AI227" s="33"/>
      <c r="AJ227" s="33"/>
      <c r="AK227" s="33"/>
      <c r="AL227" s="33"/>
      <c r="AM227" s="11"/>
      <c r="AN227" s="36"/>
      <c r="AO227" s="33"/>
      <c r="AP227" s="36"/>
      <c r="AQ227" s="33"/>
      <c r="AR227" s="36"/>
      <c r="AS227" s="36"/>
      <c r="AT227" s="38"/>
    </row>
    <row r="228" spans="1:46">
      <c r="A228" s="17" t="s">
        <v>46</v>
      </c>
      <c r="B228" s="4" t="s">
        <v>336</v>
      </c>
      <c r="C228" s="4">
        <v>35</v>
      </c>
      <c r="D228" s="4" t="s">
        <v>54</v>
      </c>
      <c r="E228" s="4"/>
      <c r="F228" s="4" t="s">
        <v>49</v>
      </c>
      <c r="G228" s="19" t="s">
        <v>57</v>
      </c>
      <c r="H228" s="19">
        <v>44910</v>
      </c>
      <c r="I228" s="19">
        <v>45092</v>
      </c>
      <c r="J228" s="34">
        <f t="shared" si="13"/>
        <v>183</v>
      </c>
      <c r="K228" s="4"/>
      <c r="L228" s="4"/>
      <c r="M228" s="33"/>
      <c r="N228" s="4"/>
      <c r="O228" s="21" t="s">
        <v>166</v>
      </c>
      <c r="P228" s="35"/>
      <c r="Q228" s="36"/>
      <c r="R228" s="37" t="str">
        <f t="shared" si="14"/>
        <v/>
      </c>
      <c r="S228" s="4"/>
      <c r="T228" s="33"/>
      <c r="U228" s="33"/>
      <c r="V228" s="4"/>
      <c r="W228" s="21" t="s">
        <v>166</v>
      </c>
      <c r="X228" s="21" t="s">
        <v>166</v>
      </c>
      <c r="Y228" s="21" t="s">
        <v>166</v>
      </c>
      <c r="Z228" s="21" t="s">
        <v>166</v>
      </c>
      <c r="AA228" s="10" t="s">
        <v>52</v>
      </c>
      <c r="AC228" s="10" t="s">
        <v>52</v>
      </c>
      <c r="AE228" s="10" t="s">
        <v>52</v>
      </c>
      <c r="AG228" s="4"/>
      <c r="AH228" s="33"/>
      <c r="AI228" s="33"/>
      <c r="AJ228" s="33"/>
      <c r="AK228" s="33"/>
      <c r="AL228" s="33"/>
      <c r="AM228" s="11"/>
      <c r="AN228" s="36"/>
      <c r="AO228" s="33"/>
      <c r="AP228" s="36"/>
      <c r="AQ228" s="33"/>
      <c r="AR228" s="36"/>
      <c r="AS228" s="36"/>
      <c r="AT228" s="38"/>
    </row>
    <row r="229" spans="1:46">
      <c r="A229" s="17" t="s">
        <v>46</v>
      </c>
      <c r="B229" s="4" t="s">
        <v>337</v>
      </c>
      <c r="C229" s="4">
        <v>60</v>
      </c>
      <c r="D229" s="4" t="s">
        <v>48</v>
      </c>
      <c r="E229" s="4"/>
      <c r="F229" s="4" t="s">
        <v>82</v>
      </c>
      <c r="G229" s="19" t="s">
        <v>57</v>
      </c>
      <c r="H229" s="19">
        <v>44923</v>
      </c>
      <c r="I229" s="19">
        <v>45476</v>
      </c>
      <c r="J229" s="34">
        <f t="shared" si="13"/>
        <v>554</v>
      </c>
      <c r="K229" s="4"/>
      <c r="L229" s="4"/>
      <c r="M229" s="33"/>
      <c r="N229" s="4"/>
      <c r="O229" s="21" t="s">
        <v>172</v>
      </c>
      <c r="P229" s="35"/>
      <c r="Q229" s="36"/>
      <c r="R229" s="37" t="str">
        <f t="shared" si="14"/>
        <v/>
      </c>
      <c r="S229" s="4"/>
      <c r="T229" s="33"/>
      <c r="U229" s="33"/>
      <c r="V229" s="4"/>
      <c r="W229" s="21" t="s">
        <v>172</v>
      </c>
      <c r="X229" s="21" t="s">
        <v>166</v>
      </c>
      <c r="Y229" s="21" t="s">
        <v>166</v>
      </c>
      <c r="Z229" s="21" t="s">
        <v>166</v>
      </c>
      <c r="AA229" s="10" t="s">
        <v>52</v>
      </c>
      <c r="AC229" s="10" t="s">
        <v>52</v>
      </c>
      <c r="AE229" s="10" t="s">
        <v>52</v>
      </c>
      <c r="AG229" s="4"/>
      <c r="AH229" s="33"/>
      <c r="AI229" s="33"/>
      <c r="AJ229" s="33"/>
      <c r="AK229" s="33"/>
      <c r="AL229" s="33"/>
      <c r="AM229" s="11"/>
      <c r="AN229" s="36"/>
      <c r="AO229" s="33"/>
      <c r="AP229" s="36"/>
      <c r="AQ229" s="33"/>
      <c r="AR229" s="36"/>
      <c r="AS229" s="36"/>
      <c r="AT229" s="38"/>
    </row>
    <row r="230" spans="1:46">
      <c r="A230" s="17" t="s">
        <v>46</v>
      </c>
      <c r="B230" s="4" t="s">
        <v>338</v>
      </c>
      <c r="C230" s="4">
        <v>41</v>
      </c>
      <c r="D230" s="4" t="s">
        <v>48</v>
      </c>
      <c r="E230" s="4"/>
      <c r="F230" s="4" t="s">
        <v>56</v>
      </c>
      <c r="G230" s="19" t="s">
        <v>57</v>
      </c>
      <c r="H230" s="19">
        <v>44932</v>
      </c>
      <c r="I230" s="19"/>
      <c r="J230" s="34" t="str">
        <f t="shared" si="13"/>
        <v/>
      </c>
      <c r="K230" s="4"/>
      <c r="L230" s="4"/>
      <c r="M230" s="33"/>
      <c r="N230" s="4"/>
      <c r="O230" s="21" t="s">
        <v>172</v>
      </c>
      <c r="P230" s="35"/>
      <c r="Q230" s="36"/>
      <c r="R230" s="37" t="str">
        <f t="shared" si="14"/>
        <v/>
      </c>
      <c r="S230" s="4"/>
      <c r="T230" s="33"/>
      <c r="U230" s="33"/>
      <c r="V230" s="4"/>
      <c r="W230" s="21" t="s">
        <v>166</v>
      </c>
      <c r="X230" s="4"/>
      <c r="Y230" s="4"/>
      <c r="Z230" s="4"/>
      <c r="AG230" s="4"/>
      <c r="AH230" s="33"/>
      <c r="AI230" s="33"/>
      <c r="AJ230" s="33"/>
      <c r="AK230" s="33"/>
      <c r="AL230" s="33"/>
      <c r="AM230" s="29" t="s">
        <v>339</v>
      </c>
      <c r="AN230" s="36"/>
      <c r="AO230" s="33"/>
      <c r="AP230" s="36"/>
      <c r="AQ230" s="33"/>
      <c r="AR230" s="36"/>
      <c r="AS230" s="36"/>
      <c r="AT230" s="38"/>
    </row>
    <row r="231" spans="1:46">
      <c r="A231" s="17" t="s">
        <v>46</v>
      </c>
      <c r="B231" s="4" t="s">
        <v>340</v>
      </c>
      <c r="C231" s="4">
        <v>42</v>
      </c>
      <c r="D231" s="4" t="s">
        <v>48</v>
      </c>
      <c r="E231" s="4"/>
      <c r="F231" s="4" t="s">
        <v>82</v>
      </c>
      <c r="G231" s="19" t="s">
        <v>57</v>
      </c>
      <c r="H231" s="19">
        <v>44936</v>
      </c>
      <c r="I231" s="19"/>
      <c r="J231" s="34" t="str">
        <f t="shared" si="13"/>
        <v/>
      </c>
      <c r="K231" s="4"/>
      <c r="L231" s="4"/>
      <c r="M231" s="33"/>
      <c r="N231" s="4"/>
      <c r="O231" s="21" t="s">
        <v>172</v>
      </c>
      <c r="P231" s="35"/>
      <c r="Q231" s="36"/>
      <c r="R231" s="37" t="str">
        <f t="shared" si="14"/>
        <v/>
      </c>
      <c r="S231" s="4"/>
      <c r="T231" s="33"/>
      <c r="U231" s="33"/>
      <c r="V231" s="4"/>
      <c r="W231" s="21" t="s">
        <v>172</v>
      </c>
      <c r="X231" s="4"/>
      <c r="Y231" s="4"/>
      <c r="Z231" s="4"/>
      <c r="AG231" s="4"/>
      <c r="AH231" s="33"/>
      <c r="AI231" s="33"/>
      <c r="AJ231" s="33"/>
      <c r="AK231" s="33"/>
      <c r="AL231" s="33"/>
      <c r="AM231" s="29" t="s">
        <v>341</v>
      </c>
      <c r="AN231" s="36"/>
      <c r="AO231" s="33"/>
      <c r="AP231" s="36"/>
      <c r="AQ231" s="33"/>
      <c r="AR231" s="36"/>
      <c r="AS231" s="36"/>
      <c r="AT231" s="38"/>
    </row>
    <row r="232" spans="1:46">
      <c r="A232" s="17" t="s">
        <v>46</v>
      </c>
      <c r="B232" s="4" t="s">
        <v>342</v>
      </c>
      <c r="C232" s="4">
        <v>76</v>
      </c>
      <c r="D232" s="4" t="s">
        <v>48</v>
      </c>
      <c r="E232" s="4"/>
      <c r="F232" s="4" t="s">
        <v>82</v>
      </c>
      <c r="G232" s="19" t="s">
        <v>57</v>
      </c>
      <c r="H232" s="19">
        <v>44938</v>
      </c>
      <c r="I232" s="19">
        <v>45119</v>
      </c>
      <c r="J232" s="34">
        <f t="shared" si="13"/>
        <v>182</v>
      </c>
      <c r="K232" s="4"/>
      <c r="L232" s="4"/>
      <c r="M232" s="33"/>
      <c r="N232" s="4"/>
      <c r="O232" s="21" t="s">
        <v>172</v>
      </c>
      <c r="P232" s="35"/>
      <c r="Q232" s="36"/>
      <c r="R232" s="37" t="str">
        <f t="shared" si="14"/>
        <v/>
      </c>
      <c r="S232" s="4"/>
      <c r="T232" s="33"/>
      <c r="U232" s="33"/>
      <c r="V232" s="4"/>
      <c r="W232" s="21" t="s">
        <v>166</v>
      </c>
      <c r="X232" s="21" t="s">
        <v>166</v>
      </c>
      <c r="Y232" s="21" t="s">
        <v>166</v>
      </c>
      <c r="Z232" s="21" t="s">
        <v>343</v>
      </c>
      <c r="AA232" s="10" t="s">
        <v>52</v>
      </c>
      <c r="AC232" s="10" t="s">
        <v>52</v>
      </c>
      <c r="AE232" s="10" t="s">
        <v>108</v>
      </c>
      <c r="AF232" s="10" t="s">
        <v>123</v>
      </c>
      <c r="AG232" s="4"/>
      <c r="AH232" s="33"/>
      <c r="AI232" s="33"/>
      <c r="AJ232" s="33"/>
      <c r="AK232" s="33"/>
      <c r="AL232" s="33"/>
      <c r="AM232" s="11"/>
      <c r="AN232" s="36"/>
      <c r="AO232" s="33"/>
      <c r="AP232" s="36"/>
      <c r="AQ232" s="33"/>
      <c r="AR232" s="36"/>
      <c r="AS232" s="36"/>
      <c r="AT232" s="38"/>
    </row>
    <row r="233" spans="1:46">
      <c r="A233" s="17" t="s">
        <v>46</v>
      </c>
      <c r="B233" s="4" t="s">
        <v>344</v>
      </c>
      <c r="C233" s="4">
        <v>48</v>
      </c>
      <c r="D233" s="4" t="s">
        <v>48</v>
      </c>
      <c r="E233" s="4"/>
      <c r="F233" s="4" t="s">
        <v>345</v>
      </c>
      <c r="G233" s="19" t="s">
        <v>57</v>
      </c>
      <c r="H233" s="19">
        <v>44944</v>
      </c>
      <c r="I233" s="19"/>
      <c r="J233" s="34" t="str">
        <f t="shared" si="13"/>
        <v/>
      </c>
      <c r="K233" s="4"/>
      <c r="L233" s="4"/>
      <c r="M233" s="33"/>
      <c r="N233" s="4"/>
      <c r="O233" s="21" t="s">
        <v>166</v>
      </c>
      <c r="P233" s="21" t="s">
        <v>166</v>
      </c>
      <c r="Q233" s="36"/>
      <c r="R233" s="37" t="str">
        <f t="shared" si="14"/>
        <v/>
      </c>
      <c r="S233" s="4"/>
      <c r="T233" s="33"/>
      <c r="U233" s="33"/>
      <c r="V233" s="4"/>
      <c r="W233" s="21" t="s">
        <v>166</v>
      </c>
      <c r="X233" s="21"/>
      <c r="Y233" s="4"/>
      <c r="Z233" s="4"/>
      <c r="AG233" s="4"/>
      <c r="AH233" s="33"/>
      <c r="AI233" s="33"/>
      <c r="AJ233" s="33"/>
      <c r="AK233" s="33"/>
      <c r="AL233" s="33"/>
      <c r="AM233" s="29" t="s">
        <v>346</v>
      </c>
      <c r="AN233" s="36"/>
      <c r="AO233" s="33"/>
      <c r="AP233" s="36"/>
      <c r="AQ233" s="33"/>
      <c r="AR233" s="36"/>
      <c r="AS233" s="36"/>
      <c r="AT233" s="38"/>
    </row>
    <row r="234" spans="1:46">
      <c r="A234" s="17" t="s">
        <v>46</v>
      </c>
      <c r="B234" s="4" t="s">
        <v>347</v>
      </c>
      <c r="C234" s="4">
        <v>27</v>
      </c>
      <c r="D234" s="4" t="s">
        <v>54</v>
      </c>
      <c r="E234" s="4"/>
      <c r="F234" s="4" t="s">
        <v>49</v>
      </c>
      <c r="G234" s="19">
        <v>45134.6203009259</v>
      </c>
      <c r="H234" s="19">
        <v>44958</v>
      </c>
      <c r="I234" s="19">
        <v>45231</v>
      </c>
      <c r="J234" s="34">
        <f t="shared" si="13"/>
        <v>274</v>
      </c>
      <c r="K234" s="4"/>
      <c r="L234" s="4"/>
      <c r="M234" s="33"/>
      <c r="N234" s="4"/>
      <c r="O234" s="21" t="s">
        <v>166</v>
      </c>
      <c r="P234" s="35"/>
      <c r="Q234" s="36"/>
      <c r="R234" s="37" t="str">
        <f t="shared" si="14"/>
        <v/>
      </c>
      <c r="S234" s="4"/>
      <c r="T234" s="33"/>
      <c r="U234" s="33"/>
      <c r="V234" s="4"/>
      <c r="W234" s="21" t="s">
        <v>166</v>
      </c>
      <c r="X234" s="21" t="s">
        <v>166</v>
      </c>
      <c r="Y234" s="21" t="s">
        <v>166</v>
      </c>
      <c r="Z234" s="21" t="s">
        <v>166</v>
      </c>
      <c r="AA234" s="10" t="s">
        <v>52</v>
      </c>
      <c r="AC234" s="10" t="s">
        <v>52</v>
      </c>
      <c r="AE234" s="10" t="s">
        <v>52</v>
      </c>
      <c r="AG234" s="4"/>
      <c r="AH234" s="33"/>
      <c r="AI234" s="33"/>
      <c r="AJ234" s="33"/>
      <c r="AK234" s="33"/>
      <c r="AL234" s="33"/>
      <c r="AM234" s="11"/>
      <c r="AN234" s="36"/>
      <c r="AO234" s="33"/>
      <c r="AP234" s="36"/>
      <c r="AQ234" s="33"/>
      <c r="AR234" s="36"/>
      <c r="AS234" s="36"/>
      <c r="AT234" s="38"/>
    </row>
    <row r="235" spans="1:46">
      <c r="A235" s="17" t="s">
        <v>46</v>
      </c>
      <c r="B235" s="4" t="s">
        <v>348</v>
      </c>
      <c r="C235" s="4">
        <v>46</v>
      </c>
      <c r="D235" s="4" t="s">
        <v>48</v>
      </c>
      <c r="E235" s="4"/>
      <c r="F235" s="4" t="s">
        <v>82</v>
      </c>
      <c r="G235" s="19">
        <v>45117.6231134259</v>
      </c>
      <c r="H235" s="19">
        <v>44963</v>
      </c>
      <c r="I235" s="19">
        <v>45144</v>
      </c>
      <c r="J235" s="34">
        <f t="shared" si="13"/>
        <v>182</v>
      </c>
      <c r="K235" s="4"/>
      <c r="L235" s="4"/>
      <c r="M235" s="33"/>
      <c r="N235" s="4"/>
      <c r="O235" s="21" t="s">
        <v>172</v>
      </c>
      <c r="P235" s="35"/>
      <c r="Q235" s="36"/>
      <c r="R235" s="37" t="str">
        <f t="shared" si="14"/>
        <v/>
      </c>
      <c r="S235" s="4"/>
      <c r="T235" s="33"/>
      <c r="U235" s="33"/>
      <c r="V235" s="4"/>
      <c r="W235" s="21" t="s">
        <v>166</v>
      </c>
      <c r="X235" s="21" t="s">
        <v>166</v>
      </c>
      <c r="Y235" s="21" t="s">
        <v>166</v>
      </c>
      <c r="Z235" s="21" t="s">
        <v>166</v>
      </c>
      <c r="AA235" s="10" t="s">
        <v>52</v>
      </c>
      <c r="AC235" s="10" t="s">
        <v>52</v>
      </c>
      <c r="AE235" s="10" t="s">
        <v>52</v>
      </c>
      <c r="AG235" s="4"/>
      <c r="AH235" s="33"/>
      <c r="AI235" s="33"/>
      <c r="AJ235" s="33"/>
      <c r="AK235" s="33"/>
      <c r="AL235" s="33"/>
      <c r="AM235" s="11"/>
      <c r="AN235" s="36"/>
      <c r="AO235" s="33"/>
      <c r="AP235" s="36"/>
      <c r="AQ235" s="33"/>
      <c r="AR235" s="36"/>
      <c r="AS235" s="36"/>
      <c r="AT235" s="38"/>
    </row>
    <row r="236" spans="1:46">
      <c r="A236" s="17" t="s">
        <v>46</v>
      </c>
      <c r="B236" s="4" t="s">
        <v>349</v>
      </c>
      <c r="C236" s="4">
        <v>30</v>
      </c>
      <c r="D236" s="4" t="s">
        <v>48</v>
      </c>
      <c r="E236" s="4"/>
      <c r="F236" s="4" t="s">
        <v>49</v>
      </c>
      <c r="G236" s="19" t="s">
        <v>57</v>
      </c>
      <c r="H236" s="19">
        <v>44965</v>
      </c>
      <c r="I236" s="19">
        <v>45238</v>
      </c>
      <c r="J236" s="34">
        <f t="shared" si="13"/>
        <v>274</v>
      </c>
      <c r="K236" s="4"/>
      <c r="L236" s="4"/>
      <c r="M236" s="33"/>
      <c r="N236" s="4"/>
      <c r="O236" s="21" t="s">
        <v>172</v>
      </c>
      <c r="P236" s="35"/>
      <c r="Q236" s="36"/>
      <c r="R236" s="37" t="str">
        <f t="shared" si="14"/>
        <v/>
      </c>
      <c r="S236" s="4"/>
      <c r="T236" s="33"/>
      <c r="U236" s="33"/>
      <c r="V236" s="4"/>
      <c r="W236" s="21" t="s">
        <v>166</v>
      </c>
      <c r="X236" s="21" t="s">
        <v>166</v>
      </c>
      <c r="Y236" s="21" t="s">
        <v>166</v>
      </c>
      <c r="Z236" s="21" t="s">
        <v>166</v>
      </c>
      <c r="AA236" s="10" t="s">
        <v>52</v>
      </c>
      <c r="AC236" s="10" t="s">
        <v>52</v>
      </c>
      <c r="AE236" s="10" t="s">
        <v>52</v>
      </c>
      <c r="AG236" s="4"/>
      <c r="AH236" s="33"/>
      <c r="AI236" s="33"/>
      <c r="AJ236" s="33"/>
      <c r="AK236" s="33"/>
      <c r="AL236" s="33"/>
      <c r="AM236" s="29"/>
      <c r="AN236" s="36"/>
      <c r="AO236" s="33"/>
      <c r="AP236" s="36"/>
      <c r="AQ236" s="33"/>
      <c r="AR236" s="36"/>
      <c r="AS236" s="36"/>
      <c r="AT236" s="38"/>
    </row>
    <row r="237" spans="1:46">
      <c r="A237" s="17" t="s">
        <v>46</v>
      </c>
      <c r="B237" s="4" t="s">
        <v>350</v>
      </c>
      <c r="C237" s="4">
        <v>59</v>
      </c>
      <c r="D237" s="4" t="s">
        <v>48</v>
      </c>
      <c r="E237" s="4"/>
      <c r="F237" s="4" t="s">
        <v>351</v>
      </c>
      <c r="G237" s="19" t="s">
        <v>57</v>
      </c>
      <c r="H237" s="19">
        <v>44960</v>
      </c>
      <c r="I237" s="19"/>
      <c r="J237" s="34" t="str">
        <f t="shared" si="13"/>
        <v/>
      </c>
      <c r="K237" s="4"/>
      <c r="L237" s="4"/>
      <c r="M237" s="33"/>
      <c r="N237" s="4"/>
      <c r="O237" s="21" t="s">
        <v>166</v>
      </c>
      <c r="P237" s="35"/>
      <c r="Q237" s="36"/>
      <c r="R237" s="37" t="str">
        <f t="shared" si="14"/>
        <v/>
      </c>
      <c r="S237" s="4"/>
      <c r="T237" s="33"/>
      <c r="U237" s="33"/>
      <c r="V237" s="4"/>
      <c r="W237" s="4"/>
      <c r="X237" s="4"/>
      <c r="Y237" s="4"/>
      <c r="Z237" s="4"/>
      <c r="AG237" s="4"/>
      <c r="AH237" s="33"/>
      <c r="AI237" s="33"/>
      <c r="AJ237" s="33"/>
      <c r="AK237" s="33"/>
      <c r="AL237" s="33"/>
      <c r="AM237" s="29" t="s">
        <v>96</v>
      </c>
      <c r="AN237" s="36"/>
      <c r="AO237" s="33"/>
      <c r="AP237" s="36"/>
      <c r="AQ237" s="33"/>
      <c r="AR237" s="36"/>
      <c r="AS237" s="36"/>
      <c r="AT237" s="38"/>
    </row>
    <row r="238" spans="1:46">
      <c r="A238" s="17" t="s">
        <v>46</v>
      </c>
      <c r="B238" s="4" t="s">
        <v>352</v>
      </c>
      <c r="C238" s="4" t="s">
        <v>353</v>
      </c>
      <c r="D238" s="4" t="s">
        <v>48</v>
      </c>
      <c r="E238" s="4"/>
      <c r="F238" s="4" t="s">
        <v>82</v>
      </c>
      <c r="G238" s="19">
        <v>45128.6060185185</v>
      </c>
      <c r="H238" s="19">
        <v>44966</v>
      </c>
      <c r="I238" s="19">
        <v>45148</v>
      </c>
      <c r="J238" s="34">
        <f t="shared" si="13"/>
        <v>183</v>
      </c>
      <c r="K238" s="4"/>
      <c r="L238" s="4"/>
      <c r="M238" s="33"/>
      <c r="N238" s="4"/>
      <c r="O238" s="21" t="s">
        <v>172</v>
      </c>
      <c r="P238" s="35"/>
      <c r="Q238" s="36"/>
      <c r="R238" s="37" t="str">
        <f t="shared" si="14"/>
        <v/>
      </c>
      <c r="S238" s="4"/>
      <c r="T238" s="33"/>
      <c r="U238" s="33"/>
      <c r="V238" s="4"/>
      <c r="W238" s="21" t="s">
        <v>166</v>
      </c>
      <c r="X238" s="21" t="s">
        <v>166</v>
      </c>
      <c r="Y238" s="21" t="s">
        <v>343</v>
      </c>
      <c r="Z238" s="21" t="s">
        <v>343</v>
      </c>
      <c r="AA238" s="10" t="s">
        <v>52</v>
      </c>
      <c r="AC238" s="10" t="s">
        <v>52</v>
      </c>
      <c r="AE238" s="10" t="s">
        <v>108</v>
      </c>
      <c r="AF238" s="10" t="s">
        <v>123</v>
      </c>
      <c r="AG238" s="4"/>
      <c r="AH238" s="33"/>
      <c r="AI238" s="33"/>
      <c r="AJ238" s="33"/>
      <c r="AK238" s="33"/>
      <c r="AL238" s="33"/>
      <c r="AM238" s="29"/>
      <c r="AN238" s="36"/>
      <c r="AO238" s="33"/>
      <c r="AP238" s="36"/>
      <c r="AQ238" s="33"/>
      <c r="AR238" s="36"/>
      <c r="AS238" s="36"/>
      <c r="AT238" s="38"/>
    </row>
    <row r="239" spans="1:46">
      <c r="A239" s="17" t="s">
        <v>46</v>
      </c>
      <c r="B239" s="4" t="s">
        <v>354</v>
      </c>
      <c r="C239" s="4">
        <v>53</v>
      </c>
      <c r="D239" s="4" t="s">
        <v>48</v>
      </c>
      <c r="E239" s="4"/>
      <c r="F239" s="4" t="s">
        <v>49</v>
      </c>
      <c r="G239" s="19" t="s">
        <v>57</v>
      </c>
      <c r="H239" s="19">
        <v>44966</v>
      </c>
      <c r="I239" s="19"/>
      <c r="J239" s="34" t="str">
        <f t="shared" si="13"/>
        <v/>
      </c>
      <c r="K239" s="4"/>
      <c r="L239" s="4"/>
      <c r="M239" s="33"/>
      <c r="N239" s="4"/>
      <c r="O239" s="21" t="s">
        <v>172</v>
      </c>
      <c r="P239" s="35"/>
      <c r="Q239" s="36"/>
      <c r="R239" s="37" t="str">
        <f t="shared" si="14"/>
        <v/>
      </c>
      <c r="S239" s="4"/>
      <c r="T239" s="33"/>
      <c r="U239" s="33"/>
      <c r="V239" s="4"/>
      <c r="W239" s="4"/>
      <c r="X239" s="4"/>
      <c r="Y239" s="4"/>
      <c r="Z239" s="4"/>
      <c r="AG239" s="4"/>
      <c r="AH239" s="33"/>
      <c r="AI239" s="33"/>
      <c r="AJ239" s="33"/>
      <c r="AK239" s="33"/>
      <c r="AL239" s="33"/>
      <c r="AM239" s="29" t="s">
        <v>355</v>
      </c>
      <c r="AN239" s="36"/>
      <c r="AO239" s="33"/>
      <c r="AP239" s="36"/>
      <c r="AQ239" s="33"/>
      <c r="AR239" s="36"/>
      <c r="AS239" s="36"/>
      <c r="AT239" s="38"/>
    </row>
    <row r="240" spans="1:46">
      <c r="A240" s="17" t="s">
        <v>46</v>
      </c>
      <c r="B240" s="4" t="s">
        <v>356</v>
      </c>
      <c r="C240" s="4">
        <v>63</v>
      </c>
      <c r="D240" s="4" t="s">
        <v>48</v>
      </c>
      <c r="E240" s="4"/>
      <c r="F240" s="4" t="s">
        <v>56</v>
      </c>
      <c r="G240" s="19" t="s">
        <v>57</v>
      </c>
      <c r="H240" s="19">
        <v>44971</v>
      </c>
      <c r="I240" s="19"/>
      <c r="J240" s="34" t="str">
        <f t="shared" si="13"/>
        <v/>
      </c>
      <c r="K240" s="4"/>
      <c r="L240" s="4"/>
      <c r="M240" s="33"/>
      <c r="N240" s="4"/>
      <c r="O240" s="21" t="s">
        <v>166</v>
      </c>
      <c r="P240" s="35"/>
      <c r="Q240" s="36"/>
      <c r="R240" s="37" t="str">
        <f t="shared" si="14"/>
        <v/>
      </c>
      <c r="S240" s="4"/>
      <c r="T240" s="33"/>
      <c r="U240" s="33"/>
      <c r="V240" s="4"/>
      <c r="W240" s="21" t="s">
        <v>166</v>
      </c>
      <c r="X240" s="4"/>
      <c r="Y240" s="4"/>
      <c r="Z240" s="4"/>
      <c r="AG240" s="4"/>
      <c r="AH240" s="33"/>
      <c r="AI240" s="33"/>
      <c r="AJ240" s="33"/>
      <c r="AK240" s="33"/>
      <c r="AL240" s="33"/>
      <c r="AM240" s="29" t="s">
        <v>357</v>
      </c>
      <c r="AN240" s="36"/>
      <c r="AO240" s="33"/>
      <c r="AP240" s="36"/>
      <c r="AQ240" s="33"/>
      <c r="AR240" s="36"/>
      <c r="AS240" s="36"/>
      <c r="AT240" s="38"/>
    </row>
    <row r="241" spans="1:46">
      <c r="A241" s="17" t="s">
        <v>46</v>
      </c>
      <c r="B241" s="4" t="s">
        <v>358</v>
      </c>
      <c r="C241" s="4">
        <v>36</v>
      </c>
      <c r="D241" s="4" t="s">
        <v>54</v>
      </c>
      <c r="E241" s="4"/>
      <c r="F241" s="4" t="s">
        <v>49</v>
      </c>
      <c r="G241" s="19">
        <v>45155.6789930556</v>
      </c>
      <c r="H241" s="19">
        <v>44973</v>
      </c>
      <c r="I241" s="19">
        <v>45153</v>
      </c>
      <c r="J241" s="34">
        <f t="shared" si="13"/>
        <v>181</v>
      </c>
      <c r="K241" s="4"/>
      <c r="L241" s="4"/>
      <c r="M241" s="33"/>
      <c r="N241" s="4"/>
      <c r="O241" s="21" t="s">
        <v>172</v>
      </c>
      <c r="P241" s="35"/>
      <c r="Q241" s="36"/>
      <c r="R241" s="37" t="str">
        <f t="shared" si="14"/>
        <v/>
      </c>
      <c r="S241" s="4"/>
      <c r="T241" s="33"/>
      <c r="U241" s="33"/>
      <c r="V241" s="4"/>
      <c r="W241" s="21" t="s">
        <v>166</v>
      </c>
      <c r="X241" s="21" t="s">
        <v>166</v>
      </c>
      <c r="Y241" s="21" t="s">
        <v>166</v>
      </c>
      <c r="Z241" s="21" t="s">
        <v>166</v>
      </c>
      <c r="AA241" s="10" t="s">
        <v>52</v>
      </c>
      <c r="AC241" s="10" t="s">
        <v>52</v>
      </c>
      <c r="AE241" s="10" t="s">
        <v>52</v>
      </c>
      <c r="AG241" s="4"/>
      <c r="AH241" s="33"/>
      <c r="AI241" s="33"/>
      <c r="AJ241" s="33"/>
      <c r="AK241" s="33"/>
      <c r="AL241" s="33"/>
      <c r="AM241" s="11"/>
      <c r="AN241" s="36"/>
      <c r="AO241" s="33"/>
      <c r="AP241" s="36"/>
      <c r="AQ241" s="33"/>
      <c r="AR241" s="36"/>
      <c r="AS241" s="36"/>
      <c r="AT241" s="38"/>
    </row>
    <row r="242" spans="1:46">
      <c r="A242" s="17" t="s">
        <v>46</v>
      </c>
      <c r="B242" s="4" t="s">
        <v>359</v>
      </c>
      <c r="C242" s="4">
        <v>77</v>
      </c>
      <c r="D242" s="4" t="s">
        <v>48</v>
      </c>
      <c r="E242" s="4"/>
      <c r="F242" s="4" t="s">
        <v>56</v>
      </c>
      <c r="G242" s="19" t="s">
        <v>57</v>
      </c>
      <c r="H242" s="19">
        <v>44974</v>
      </c>
      <c r="I242" s="19"/>
      <c r="J242" s="34" t="str">
        <f t="shared" si="13"/>
        <v/>
      </c>
      <c r="K242" s="4"/>
      <c r="L242" s="4"/>
      <c r="M242" s="33"/>
      <c r="N242" s="4"/>
      <c r="O242" s="21" t="s">
        <v>172</v>
      </c>
      <c r="P242" s="35"/>
      <c r="Q242" s="36"/>
      <c r="R242" s="37" t="str">
        <f t="shared" si="14"/>
        <v/>
      </c>
      <c r="S242" s="4"/>
      <c r="T242" s="33"/>
      <c r="U242" s="33"/>
      <c r="V242" s="4"/>
      <c r="W242" s="4"/>
      <c r="X242" s="4"/>
      <c r="Y242" s="4"/>
      <c r="Z242" s="4"/>
      <c r="AG242" s="4"/>
      <c r="AH242" s="33"/>
      <c r="AI242" s="33"/>
      <c r="AJ242" s="33"/>
      <c r="AK242" s="33"/>
      <c r="AL242" s="33"/>
      <c r="AM242" s="29" t="s">
        <v>360</v>
      </c>
      <c r="AN242" s="36"/>
      <c r="AO242" s="33"/>
      <c r="AP242" s="36"/>
      <c r="AQ242" s="33"/>
      <c r="AR242" s="36"/>
      <c r="AS242" s="36"/>
      <c r="AT242" s="38"/>
    </row>
    <row r="243" spans="1:46">
      <c r="A243" s="17" t="s">
        <v>46</v>
      </c>
      <c r="B243" s="4" t="s">
        <v>361</v>
      </c>
      <c r="C243" s="4">
        <v>21</v>
      </c>
      <c r="D243" s="4" t="s">
        <v>48</v>
      </c>
      <c r="E243" s="4"/>
      <c r="F243" s="4" t="s">
        <v>82</v>
      </c>
      <c r="G243" s="19" t="s">
        <v>57</v>
      </c>
      <c r="H243" s="19">
        <v>44974</v>
      </c>
      <c r="I243" s="19"/>
      <c r="J243" s="34" t="str">
        <f t="shared" si="13"/>
        <v/>
      </c>
      <c r="K243" s="4"/>
      <c r="L243" s="4"/>
      <c r="M243" s="33"/>
      <c r="N243" s="4"/>
      <c r="O243" s="21" t="s">
        <v>172</v>
      </c>
      <c r="P243" s="35"/>
      <c r="Q243" s="36"/>
      <c r="R243" s="37" t="str">
        <f t="shared" si="14"/>
        <v/>
      </c>
      <c r="S243" s="4"/>
      <c r="T243" s="33"/>
      <c r="U243" s="33"/>
      <c r="V243" s="4"/>
      <c r="W243" s="21" t="s">
        <v>172</v>
      </c>
      <c r="X243" s="4"/>
      <c r="Y243" s="4"/>
      <c r="Z243" s="4"/>
      <c r="AG243" s="4"/>
      <c r="AH243" s="33"/>
      <c r="AI243" s="33"/>
      <c r="AJ243" s="33"/>
      <c r="AK243" s="33"/>
      <c r="AL243" s="33"/>
      <c r="AM243" s="29" t="s">
        <v>362</v>
      </c>
      <c r="AN243" s="36"/>
      <c r="AO243" s="33"/>
      <c r="AP243" s="36"/>
      <c r="AQ243" s="33"/>
      <c r="AR243" s="36"/>
      <c r="AS243" s="36"/>
      <c r="AT243" s="38"/>
    </row>
    <row r="244" spans="1:46">
      <c r="A244" s="17" t="s">
        <v>46</v>
      </c>
      <c r="B244" s="4" t="s">
        <v>363</v>
      </c>
      <c r="C244" s="4">
        <v>37</v>
      </c>
      <c r="D244" s="4" t="s">
        <v>48</v>
      </c>
      <c r="E244" s="4"/>
      <c r="F244" s="4" t="s">
        <v>49</v>
      </c>
      <c r="G244" s="19">
        <v>45128.6059837963</v>
      </c>
      <c r="H244" s="19">
        <v>44976</v>
      </c>
      <c r="I244" s="19">
        <v>45250</v>
      </c>
      <c r="J244" s="34">
        <f t="shared" si="13"/>
        <v>275</v>
      </c>
      <c r="K244" s="4"/>
      <c r="L244" s="4"/>
      <c r="M244" s="33"/>
      <c r="N244" s="4"/>
      <c r="O244" s="21" t="s">
        <v>166</v>
      </c>
      <c r="P244" s="35"/>
      <c r="Q244" s="36"/>
      <c r="R244" s="37" t="str">
        <f t="shared" si="14"/>
        <v/>
      </c>
      <c r="S244" s="4"/>
      <c r="T244" s="33"/>
      <c r="U244" s="33"/>
      <c r="V244" s="4"/>
      <c r="W244" s="21" t="s">
        <v>166</v>
      </c>
      <c r="X244" s="21" t="s">
        <v>166</v>
      </c>
      <c r="Y244" s="21" t="s">
        <v>166</v>
      </c>
      <c r="Z244" s="21" t="s">
        <v>166</v>
      </c>
      <c r="AA244" s="10" t="s">
        <v>52</v>
      </c>
      <c r="AC244" s="10" t="s">
        <v>52</v>
      </c>
      <c r="AE244" s="10" t="s">
        <v>52</v>
      </c>
      <c r="AG244" s="4"/>
      <c r="AH244" s="33"/>
      <c r="AI244" s="33"/>
      <c r="AJ244" s="33"/>
      <c r="AK244" s="33"/>
      <c r="AL244" s="33"/>
      <c r="AM244" s="11"/>
      <c r="AN244" s="36"/>
      <c r="AO244" s="33"/>
      <c r="AP244" s="36"/>
      <c r="AQ244" s="33"/>
      <c r="AR244" s="36"/>
      <c r="AS244" s="36"/>
      <c r="AT244" s="38"/>
    </row>
    <row r="245" spans="1:46">
      <c r="A245" s="17" t="s">
        <v>46</v>
      </c>
      <c r="B245" s="4" t="s">
        <v>364</v>
      </c>
      <c r="C245" s="4">
        <v>33</v>
      </c>
      <c r="D245" s="4" t="s">
        <v>54</v>
      </c>
      <c r="E245" s="4"/>
      <c r="F245" s="4" t="s">
        <v>56</v>
      </c>
      <c r="G245" s="19" t="s">
        <v>57</v>
      </c>
      <c r="H245" s="19">
        <v>44979</v>
      </c>
      <c r="I245" s="19">
        <v>45255</v>
      </c>
      <c r="J245" s="34">
        <f t="shared" si="13"/>
        <v>277</v>
      </c>
      <c r="K245" s="4"/>
      <c r="L245" s="4"/>
      <c r="M245" s="33"/>
      <c r="N245" s="4"/>
      <c r="O245" s="21" t="s">
        <v>172</v>
      </c>
      <c r="P245" s="35"/>
      <c r="Q245" s="36"/>
      <c r="R245" s="37" t="str">
        <f t="shared" si="14"/>
        <v/>
      </c>
      <c r="S245" s="4"/>
      <c r="T245" s="33"/>
      <c r="U245" s="33"/>
      <c r="V245" s="4"/>
      <c r="W245" s="21" t="s">
        <v>172</v>
      </c>
      <c r="X245" s="21" t="s">
        <v>166</v>
      </c>
      <c r="Y245" s="21" t="s">
        <v>166</v>
      </c>
      <c r="Z245" s="21" t="s">
        <v>343</v>
      </c>
      <c r="AA245" s="10" t="s">
        <v>52</v>
      </c>
      <c r="AC245" s="10" t="s">
        <v>52</v>
      </c>
      <c r="AE245" s="10" t="s">
        <v>108</v>
      </c>
      <c r="AF245" s="10" t="s">
        <v>123</v>
      </c>
      <c r="AG245" s="4"/>
      <c r="AH245" s="33"/>
      <c r="AI245" s="33"/>
      <c r="AJ245" s="33"/>
      <c r="AK245" s="33"/>
      <c r="AL245" s="33"/>
      <c r="AM245" s="11"/>
      <c r="AN245" s="36"/>
      <c r="AO245" s="33"/>
      <c r="AP245" s="36"/>
      <c r="AQ245" s="33"/>
      <c r="AR245" s="36"/>
      <c r="AS245" s="36"/>
      <c r="AT245" s="38"/>
    </row>
    <row r="246" spans="1:46">
      <c r="A246" s="17" t="s">
        <v>46</v>
      </c>
      <c r="B246" s="4" t="s">
        <v>365</v>
      </c>
      <c r="C246" s="4">
        <v>63</v>
      </c>
      <c r="D246" s="4" t="s">
        <v>54</v>
      </c>
      <c r="E246" s="4"/>
      <c r="F246" s="4" t="s">
        <v>49</v>
      </c>
      <c r="G246" s="19" t="s">
        <v>57</v>
      </c>
      <c r="H246" s="19">
        <v>44931</v>
      </c>
      <c r="I246" s="19"/>
      <c r="J246" s="34" t="str">
        <f t="shared" si="13"/>
        <v/>
      </c>
      <c r="K246" s="4"/>
      <c r="L246" s="4"/>
      <c r="M246" s="33"/>
      <c r="N246" s="4"/>
      <c r="O246" s="21" t="s">
        <v>172</v>
      </c>
      <c r="P246" s="35"/>
      <c r="Q246" s="36"/>
      <c r="R246" s="37" t="str">
        <f t="shared" si="14"/>
        <v/>
      </c>
      <c r="S246" s="4"/>
      <c r="T246" s="33"/>
      <c r="U246" s="33"/>
      <c r="V246" s="4"/>
      <c r="W246" s="21" t="s">
        <v>166</v>
      </c>
      <c r="X246" s="4"/>
      <c r="Y246" s="4"/>
      <c r="Z246" s="4"/>
      <c r="AG246" s="4"/>
      <c r="AH246" s="33"/>
      <c r="AI246" s="33"/>
      <c r="AJ246" s="33"/>
      <c r="AK246" s="33"/>
      <c r="AL246" s="33"/>
      <c r="AM246" s="29" t="s">
        <v>96</v>
      </c>
      <c r="AN246" s="36"/>
      <c r="AO246" s="33"/>
      <c r="AP246" s="36"/>
      <c r="AQ246" s="33"/>
      <c r="AR246" s="36"/>
      <c r="AS246" s="36"/>
      <c r="AT246" s="38"/>
    </row>
    <row r="247" spans="1:46">
      <c r="A247" s="17" t="s">
        <v>46</v>
      </c>
      <c r="B247" s="4" t="s">
        <v>366</v>
      </c>
      <c r="C247" s="4">
        <v>54</v>
      </c>
      <c r="D247" s="4" t="s">
        <v>48</v>
      </c>
      <c r="E247" s="4"/>
      <c r="F247" s="4" t="s">
        <v>64</v>
      </c>
      <c r="G247" s="19" t="s">
        <v>57</v>
      </c>
      <c r="H247" s="19">
        <v>44979</v>
      </c>
      <c r="I247" s="19">
        <v>45158</v>
      </c>
      <c r="J247" s="34">
        <f t="shared" si="13"/>
        <v>180</v>
      </c>
      <c r="K247" s="4"/>
      <c r="L247" s="4"/>
      <c r="M247" s="33"/>
      <c r="N247" s="4"/>
      <c r="O247" s="21" t="s">
        <v>172</v>
      </c>
      <c r="P247" s="35"/>
      <c r="Q247" s="36"/>
      <c r="R247" s="37" t="str">
        <f t="shared" si="14"/>
        <v/>
      </c>
      <c r="S247" s="4"/>
      <c r="T247" s="33"/>
      <c r="U247" s="33"/>
      <c r="V247" s="4"/>
      <c r="W247" s="21" t="s">
        <v>166</v>
      </c>
      <c r="X247" s="21" t="s">
        <v>166</v>
      </c>
      <c r="Y247" s="21" t="s">
        <v>166</v>
      </c>
      <c r="Z247" s="21" t="s">
        <v>166</v>
      </c>
      <c r="AA247" s="10" t="s">
        <v>52</v>
      </c>
      <c r="AC247" s="10" t="s">
        <v>52</v>
      </c>
      <c r="AE247" s="10" t="s">
        <v>52</v>
      </c>
      <c r="AG247" s="4"/>
      <c r="AH247" s="33"/>
      <c r="AI247" s="33"/>
      <c r="AJ247" s="33"/>
      <c r="AK247" s="33"/>
      <c r="AL247" s="33"/>
      <c r="AM247" s="11"/>
      <c r="AN247" s="36"/>
      <c r="AO247" s="33"/>
      <c r="AP247" s="36"/>
      <c r="AQ247" s="33"/>
      <c r="AR247" s="36"/>
      <c r="AS247" s="36"/>
      <c r="AT247" s="38"/>
    </row>
    <row r="248" spans="1:46">
      <c r="A248" s="17" t="s">
        <v>46</v>
      </c>
      <c r="B248" s="4" t="s">
        <v>367</v>
      </c>
      <c r="C248" s="4">
        <v>43</v>
      </c>
      <c r="D248" s="4" t="s">
        <v>54</v>
      </c>
      <c r="E248" s="4"/>
      <c r="F248" s="4" t="s">
        <v>56</v>
      </c>
      <c r="G248" s="19" t="s">
        <v>57</v>
      </c>
      <c r="H248" s="19">
        <v>44981</v>
      </c>
      <c r="I248" s="19">
        <v>45158</v>
      </c>
      <c r="J248" s="34">
        <f t="shared" si="13"/>
        <v>178</v>
      </c>
      <c r="K248" s="4"/>
      <c r="L248" s="4"/>
      <c r="M248" s="33"/>
      <c r="N248" s="4"/>
      <c r="O248" s="21" t="s">
        <v>166</v>
      </c>
      <c r="P248" s="35"/>
      <c r="Q248" s="36"/>
      <c r="R248" s="37" t="str">
        <f t="shared" si="14"/>
        <v/>
      </c>
      <c r="S248" s="4"/>
      <c r="T248" s="33"/>
      <c r="U248" s="33"/>
      <c r="V248" s="4"/>
      <c r="W248" s="21" t="s">
        <v>166</v>
      </c>
      <c r="X248" s="21" t="s">
        <v>166</v>
      </c>
      <c r="Y248" s="21" t="s">
        <v>166</v>
      </c>
      <c r="Z248" s="21" t="s">
        <v>166</v>
      </c>
      <c r="AA248" s="10" t="s">
        <v>52</v>
      </c>
      <c r="AC248" s="10" t="s">
        <v>52</v>
      </c>
      <c r="AE248" s="10" t="s">
        <v>52</v>
      </c>
      <c r="AG248" s="4"/>
      <c r="AH248" s="33"/>
      <c r="AI248" s="33"/>
      <c r="AJ248" s="33"/>
      <c r="AK248" s="33"/>
      <c r="AL248" s="33"/>
      <c r="AM248" s="11"/>
      <c r="AN248" s="36"/>
      <c r="AO248" s="33"/>
      <c r="AP248" s="36"/>
      <c r="AQ248" s="33"/>
      <c r="AR248" s="36"/>
      <c r="AS248" s="36"/>
      <c r="AT248" s="38"/>
    </row>
    <row r="249" spans="1:46">
      <c r="A249" s="17" t="s">
        <v>46</v>
      </c>
      <c r="B249" s="4" t="s">
        <v>368</v>
      </c>
      <c r="C249" s="4">
        <v>56</v>
      </c>
      <c r="D249" s="4" t="s">
        <v>48</v>
      </c>
      <c r="E249" s="4"/>
      <c r="F249" s="4" t="s">
        <v>49</v>
      </c>
      <c r="G249" s="19" t="s">
        <v>57</v>
      </c>
      <c r="H249" s="19">
        <v>44981</v>
      </c>
      <c r="I249" s="19"/>
      <c r="J249" s="34" t="str">
        <f t="shared" si="13"/>
        <v/>
      </c>
      <c r="K249" s="4"/>
      <c r="L249" s="4"/>
      <c r="M249" s="33"/>
      <c r="N249" s="4"/>
      <c r="O249" s="21" t="s">
        <v>172</v>
      </c>
      <c r="P249" s="35"/>
      <c r="Q249" s="36"/>
      <c r="R249" s="37" t="str">
        <f t="shared" si="14"/>
        <v/>
      </c>
      <c r="S249" s="4"/>
      <c r="T249" s="33"/>
      <c r="U249" s="33"/>
      <c r="V249" s="4"/>
      <c r="W249" s="4"/>
      <c r="X249" s="4"/>
      <c r="Y249" s="4"/>
      <c r="Z249" s="4"/>
      <c r="AG249" s="4"/>
      <c r="AH249" s="33"/>
      <c r="AI249" s="33"/>
      <c r="AJ249" s="33"/>
      <c r="AK249" s="33"/>
      <c r="AL249" s="33"/>
      <c r="AM249" s="29" t="s">
        <v>369</v>
      </c>
      <c r="AN249" s="36"/>
      <c r="AO249" s="33"/>
      <c r="AP249" s="36"/>
      <c r="AQ249" s="33"/>
      <c r="AR249" s="36"/>
      <c r="AS249" s="36"/>
      <c r="AT249" s="38"/>
    </row>
    <row r="250" spans="1:46">
      <c r="A250" s="17" t="s">
        <v>46</v>
      </c>
      <c r="B250" s="4" t="s">
        <v>370</v>
      </c>
      <c r="C250" s="4">
        <v>27</v>
      </c>
      <c r="D250" s="4" t="s">
        <v>48</v>
      </c>
      <c r="E250" s="4"/>
      <c r="F250" s="4" t="s">
        <v>56</v>
      </c>
      <c r="G250" s="19" t="s">
        <v>57</v>
      </c>
      <c r="H250" s="19">
        <v>44981</v>
      </c>
      <c r="I250" s="19">
        <v>45157</v>
      </c>
      <c r="J250" s="34">
        <f t="shared" si="13"/>
        <v>177</v>
      </c>
      <c r="K250" s="4"/>
      <c r="L250" s="4"/>
      <c r="M250" s="33"/>
      <c r="N250" s="4"/>
      <c r="O250" s="21" t="s">
        <v>166</v>
      </c>
      <c r="P250" s="35"/>
      <c r="Q250" s="36"/>
      <c r="R250" s="37" t="str">
        <f t="shared" si="14"/>
        <v/>
      </c>
      <c r="S250" s="4"/>
      <c r="T250" s="33"/>
      <c r="U250" s="33"/>
      <c r="V250" s="4"/>
      <c r="W250" s="21" t="s">
        <v>166</v>
      </c>
      <c r="X250" s="21" t="s">
        <v>166</v>
      </c>
      <c r="Y250" s="21" t="s">
        <v>166</v>
      </c>
      <c r="Z250" s="21" t="s">
        <v>166</v>
      </c>
      <c r="AA250" s="10" t="s">
        <v>52</v>
      </c>
      <c r="AC250" s="10" t="s">
        <v>52</v>
      </c>
      <c r="AE250" s="10" t="s">
        <v>52</v>
      </c>
      <c r="AG250" s="4"/>
      <c r="AH250" s="33"/>
      <c r="AI250" s="33"/>
      <c r="AJ250" s="33"/>
      <c r="AK250" s="33"/>
      <c r="AL250" s="33"/>
      <c r="AM250" s="11"/>
      <c r="AN250" s="36"/>
      <c r="AO250" s="33"/>
      <c r="AP250" s="36"/>
      <c r="AQ250" s="33"/>
      <c r="AR250" s="36"/>
      <c r="AS250" s="36"/>
      <c r="AT250" s="38"/>
    </row>
    <row r="251" spans="1:46">
      <c r="A251" s="17" t="s">
        <v>46</v>
      </c>
      <c r="B251" s="4" t="s">
        <v>371</v>
      </c>
      <c r="C251" s="4">
        <v>34</v>
      </c>
      <c r="D251" s="4" t="s">
        <v>48</v>
      </c>
      <c r="E251" s="4"/>
      <c r="F251" s="4" t="s">
        <v>56</v>
      </c>
      <c r="G251" s="19" t="s">
        <v>57</v>
      </c>
      <c r="H251" s="19">
        <v>44988</v>
      </c>
      <c r="I251" s="19">
        <v>45393</v>
      </c>
      <c r="J251" s="34">
        <f t="shared" si="13"/>
        <v>406</v>
      </c>
      <c r="K251" s="4"/>
      <c r="L251" s="4"/>
      <c r="M251" s="33"/>
      <c r="N251" s="4"/>
      <c r="O251" s="21" t="s">
        <v>172</v>
      </c>
      <c r="P251" s="35"/>
      <c r="Q251" s="36"/>
      <c r="R251" s="37" t="str">
        <f t="shared" si="14"/>
        <v/>
      </c>
      <c r="S251" s="4"/>
      <c r="T251" s="33"/>
      <c r="U251" s="33"/>
      <c r="V251" s="4"/>
      <c r="W251" s="21" t="s">
        <v>172</v>
      </c>
      <c r="X251" s="21" t="s">
        <v>172</v>
      </c>
      <c r="Y251" s="21" t="s">
        <v>166</v>
      </c>
      <c r="Z251" s="21" t="s">
        <v>166</v>
      </c>
      <c r="AA251" s="10" t="s">
        <v>52</v>
      </c>
      <c r="AC251" s="10" t="s">
        <v>52</v>
      </c>
      <c r="AE251" s="10" t="s">
        <v>52</v>
      </c>
      <c r="AG251" s="4"/>
      <c r="AH251" s="33"/>
      <c r="AI251" s="33"/>
      <c r="AJ251" s="33"/>
      <c r="AK251" s="33"/>
      <c r="AL251" s="33"/>
      <c r="AM251" s="11"/>
      <c r="AN251" s="36"/>
      <c r="AO251" s="33"/>
      <c r="AP251" s="36"/>
      <c r="AQ251" s="33"/>
      <c r="AR251" s="36"/>
      <c r="AS251" s="36"/>
      <c r="AT251" s="38"/>
    </row>
    <row r="252" spans="1:46">
      <c r="A252" s="17" t="s">
        <v>46</v>
      </c>
      <c r="B252" s="4" t="s">
        <v>372</v>
      </c>
      <c r="C252" s="4">
        <v>37</v>
      </c>
      <c r="D252" s="4" t="s">
        <v>48</v>
      </c>
      <c r="E252" s="4"/>
      <c r="F252" s="4" t="s">
        <v>49</v>
      </c>
      <c r="G252" s="19">
        <v>45179.4468518519</v>
      </c>
      <c r="H252" s="19">
        <v>44991</v>
      </c>
      <c r="I252" s="19">
        <v>45266</v>
      </c>
      <c r="J252" s="34">
        <f t="shared" si="13"/>
        <v>276</v>
      </c>
      <c r="K252" s="4"/>
      <c r="L252" s="4"/>
      <c r="M252" s="33"/>
      <c r="N252" s="4"/>
      <c r="O252" s="21" t="s">
        <v>172</v>
      </c>
      <c r="P252" s="35"/>
      <c r="Q252" s="36"/>
      <c r="R252" s="37" t="str">
        <f t="shared" si="14"/>
        <v/>
      </c>
      <c r="S252" s="4"/>
      <c r="T252" s="33"/>
      <c r="U252" s="33"/>
      <c r="V252" s="4"/>
      <c r="W252" s="21" t="s">
        <v>166</v>
      </c>
      <c r="X252" s="21" t="s">
        <v>166</v>
      </c>
      <c r="Y252" s="21" t="s">
        <v>166</v>
      </c>
      <c r="Z252" s="21" t="s">
        <v>166</v>
      </c>
      <c r="AA252" s="10" t="s">
        <v>52</v>
      </c>
      <c r="AC252" s="10" t="s">
        <v>52</v>
      </c>
      <c r="AE252" s="10" t="s">
        <v>52</v>
      </c>
      <c r="AG252" s="4"/>
      <c r="AH252" s="33"/>
      <c r="AI252" s="33"/>
      <c r="AJ252" s="33"/>
      <c r="AK252" s="33"/>
      <c r="AL252" s="33"/>
      <c r="AM252" s="11"/>
      <c r="AN252" s="36"/>
      <c r="AO252" s="33"/>
      <c r="AP252" s="36"/>
      <c r="AQ252" s="33"/>
      <c r="AR252" s="36"/>
      <c r="AS252" s="36"/>
      <c r="AT252" s="38"/>
    </row>
    <row r="253" spans="1:46">
      <c r="A253" s="17" t="s">
        <v>46</v>
      </c>
      <c r="B253" s="4" t="s">
        <v>373</v>
      </c>
      <c r="C253" s="4">
        <v>34</v>
      </c>
      <c r="D253" s="4" t="s">
        <v>48</v>
      </c>
      <c r="E253" s="4"/>
      <c r="F253" s="4" t="s">
        <v>374</v>
      </c>
      <c r="G253" s="19">
        <v>45172.4741898148</v>
      </c>
      <c r="H253" s="19">
        <v>44991</v>
      </c>
      <c r="I253" s="19">
        <v>45267</v>
      </c>
      <c r="J253" s="34">
        <f t="shared" si="13"/>
        <v>277</v>
      </c>
      <c r="K253" s="4"/>
      <c r="L253" s="4"/>
      <c r="M253" s="33"/>
      <c r="N253" s="4"/>
      <c r="O253" s="21" t="s">
        <v>166</v>
      </c>
      <c r="P253" s="35"/>
      <c r="Q253" s="36"/>
      <c r="R253" s="37" t="str">
        <f t="shared" si="14"/>
        <v/>
      </c>
      <c r="S253" s="4"/>
      <c r="T253" s="33"/>
      <c r="U253" s="33"/>
      <c r="V253" s="4"/>
      <c r="W253" s="21" t="s">
        <v>166</v>
      </c>
      <c r="X253" s="21" t="s">
        <v>166</v>
      </c>
      <c r="Y253" s="21" t="s">
        <v>166</v>
      </c>
      <c r="Z253" s="21" t="s">
        <v>166</v>
      </c>
      <c r="AA253" s="10" t="s">
        <v>52</v>
      </c>
      <c r="AC253" s="10" t="s">
        <v>52</v>
      </c>
      <c r="AE253" s="10" t="s">
        <v>52</v>
      </c>
      <c r="AG253" s="4"/>
      <c r="AH253" s="33"/>
      <c r="AI253" s="33"/>
      <c r="AJ253" s="33"/>
      <c r="AK253" s="33"/>
      <c r="AL253" s="33"/>
      <c r="AM253" s="11"/>
      <c r="AN253" s="36"/>
      <c r="AO253" s="33"/>
      <c r="AP253" s="36"/>
      <c r="AQ253" s="33"/>
      <c r="AR253" s="36"/>
      <c r="AS253" s="36"/>
      <c r="AT253" s="38"/>
    </row>
    <row r="254" spans="1:46">
      <c r="A254" s="17" t="s">
        <v>46</v>
      </c>
      <c r="B254" s="4" t="s">
        <v>375</v>
      </c>
      <c r="C254" s="4">
        <v>24</v>
      </c>
      <c r="D254" s="4" t="s">
        <v>48</v>
      </c>
      <c r="E254" s="4"/>
      <c r="F254" s="4" t="s">
        <v>56</v>
      </c>
      <c r="G254" s="19" t="s">
        <v>57</v>
      </c>
      <c r="H254" s="19">
        <v>44992</v>
      </c>
      <c r="I254" s="19">
        <v>45332</v>
      </c>
      <c r="J254" s="34">
        <f t="shared" si="13"/>
        <v>341</v>
      </c>
      <c r="K254" s="4"/>
      <c r="L254" s="4"/>
      <c r="M254" s="33"/>
      <c r="N254" s="4"/>
      <c r="O254" s="21" t="s">
        <v>172</v>
      </c>
      <c r="P254" s="35"/>
      <c r="Q254" s="36"/>
      <c r="R254" s="37" t="str">
        <f t="shared" si="14"/>
        <v/>
      </c>
      <c r="S254" s="4"/>
      <c r="T254" s="33"/>
      <c r="U254" s="33"/>
      <c r="V254" s="4"/>
      <c r="W254" s="21" t="s">
        <v>166</v>
      </c>
      <c r="X254" s="21" t="s">
        <v>166</v>
      </c>
      <c r="Y254" s="21" t="s">
        <v>166</v>
      </c>
      <c r="Z254" s="21" t="s">
        <v>166</v>
      </c>
      <c r="AA254" s="10" t="s">
        <v>52</v>
      </c>
      <c r="AC254" s="10" t="s">
        <v>52</v>
      </c>
      <c r="AE254" s="10" t="s">
        <v>52</v>
      </c>
      <c r="AG254" s="4"/>
      <c r="AH254" s="33"/>
      <c r="AI254" s="33"/>
      <c r="AJ254" s="33"/>
      <c r="AK254" s="33"/>
      <c r="AL254" s="33"/>
      <c r="AM254" s="11"/>
      <c r="AN254" s="36"/>
      <c r="AO254" s="33"/>
      <c r="AP254" s="36"/>
      <c r="AQ254" s="33"/>
      <c r="AR254" s="36"/>
      <c r="AS254" s="36"/>
      <c r="AT254" s="38"/>
    </row>
    <row r="255" spans="1:46">
      <c r="A255" s="17" t="s">
        <v>46</v>
      </c>
      <c r="B255" s="4" t="s">
        <v>376</v>
      </c>
      <c r="C255" s="4">
        <v>37</v>
      </c>
      <c r="D255" s="4" t="s">
        <v>54</v>
      </c>
      <c r="E255" s="4"/>
      <c r="F255" s="4" t="s">
        <v>49</v>
      </c>
      <c r="G255" s="19" t="s">
        <v>57</v>
      </c>
      <c r="H255" s="19">
        <v>44995</v>
      </c>
      <c r="I255" s="19"/>
      <c r="J255" s="34" t="str">
        <f t="shared" si="13"/>
        <v/>
      </c>
      <c r="K255" s="4"/>
      <c r="L255" s="4"/>
      <c r="M255" s="33"/>
      <c r="N255" s="4"/>
      <c r="O255" s="21" t="s">
        <v>166</v>
      </c>
      <c r="P255" s="35"/>
      <c r="Q255" s="36"/>
      <c r="R255" s="37" t="str">
        <f t="shared" si="14"/>
        <v/>
      </c>
      <c r="S255" s="4"/>
      <c r="T255" s="33"/>
      <c r="U255" s="33"/>
      <c r="V255" s="4"/>
      <c r="W255" s="21" t="s">
        <v>166</v>
      </c>
      <c r="X255" s="4"/>
      <c r="Y255" s="4"/>
      <c r="Z255" s="4"/>
      <c r="AG255" s="4"/>
      <c r="AH255" s="33"/>
      <c r="AI255" s="33"/>
      <c r="AJ255" s="33"/>
      <c r="AK255" s="33"/>
      <c r="AL255" s="33"/>
      <c r="AM255" s="29" t="s">
        <v>377</v>
      </c>
      <c r="AN255" s="36"/>
      <c r="AO255" s="33"/>
      <c r="AP255" s="36"/>
      <c r="AQ255" s="33"/>
      <c r="AR255" s="36"/>
      <c r="AS255" s="36"/>
      <c r="AT255" s="38"/>
    </row>
    <row r="256" spans="1:46">
      <c r="A256" s="17" t="s">
        <v>46</v>
      </c>
      <c r="B256" s="4" t="s">
        <v>378</v>
      </c>
      <c r="C256" s="4">
        <v>55</v>
      </c>
      <c r="D256" s="4" t="s">
        <v>48</v>
      </c>
      <c r="E256" s="4"/>
      <c r="F256" s="4" t="s">
        <v>374</v>
      </c>
      <c r="G256" s="19" t="s">
        <v>57</v>
      </c>
      <c r="H256" s="19">
        <v>44995</v>
      </c>
      <c r="I256" s="19"/>
      <c r="J256" s="34" t="str">
        <f t="shared" si="13"/>
        <v/>
      </c>
      <c r="K256" s="4"/>
      <c r="L256" s="4"/>
      <c r="M256" s="33"/>
      <c r="N256" s="4"/>
      <c r="O256" s="21" t="s">
        <v>172</v>
      </c>
      <c r="P256" s="35"/>
      <c r="Q256" s="36"/>
      <c r="R256" s="37" t="str">
        <f t="shared" si="14"/>
        <v/>
      </c>
      <c r="S256" s="4"/>
      <c r="T256" s="33"/>
      <c r="U256" s="33"/>
      <c r="V256" s="4"/>
      <c r="W256" s="21" t="s">
        <v>172</v>
      </c>
      <c r="X256" s="4"/>
      <c r="Y256" s="4"/>
      <c r="Z256" s="4"/>
      <c r="AG256" s="4"/>
      <c r="AH256" s="33"/>
      <c r="AI256" s="33"/>
      <c r="AJ256" s="33"/>
      <c r="AK256" s="33"/>
      <c r="AL256" s="33"/>
      <c r="AM256" s="29" t="s">
        <v>379</v>
      </c>
      <c r="AN256" s="36"/>
      <c r="AO256" s="33"/>
      <c r="AP256" s="36"/>
      <c r="AQ256" s="33"/>
      <c r="AR256" s="36"/>
      <c r="AS256" s="36"/>
      <c r="AT256" s="38"/>
    </row>
    <row r="257" spans="1:46">
      <c r="A257" s="17" t="s">
        <v>46</v>
      </c>
      <c r="B257" s="4" t="s">
        <v>380</v>
      </c>
      <c r="C257" s="4">
        <v>29</v>
      </c>
      <c r="D257" s="4" t="s">
        <v>48</v>
      </c>
      <c r="E257" s="4"/>
      <c r="F257" s="4" t="s">
        <v>56</v>
      </c>
      <c r="G257" s="19" t="s">
        <v>57</v>
      </c>
      <c r="H257" s="19">
        <v>44995</v>
      </c>
      <c r="I257" s="19"/>
      <c r="J257" s="34" t="str">
        <f t="shared" ref="J257:J304" si="15">IF(AND(H257&lt;&gt;"",I257&lt;&gt;""),I257-H257+1,"")</f>
        <v/>
      </c>
      <c r="K257" s="4"/>
      <c r="L257" s="4"/>
      <c r="M257" s="33"/>
      <c r="N257" s="4"/>
      <c r="O257" s="21" t="s">
        <v>166</v>
      </c>
      <c r="P257" s="21" t="s">
        <v>166</v>
      </c>
      <c r="Q257" s="36"/>
      <c r="R257" s="37" t="str">
        <f t="shared" ref="R257:R300" si="16">IF(AND(P257&lt;&gt;"",Q257&lt;&gt;""),P257/(Q257/100)^2,"")</f>
        <v/>
      </c>
      <c r="S257" s="4"/>
      <c r="T257" s="33"/>
      <c r="U257" s="33"/>
      <c r="V257" s="4"/>
      <c r="W257" s="21" t="s">
        <v>166</v>
      </c>
      <c r="X257" s="21"/>
      <c r="Y257" s="4"/>
      <c r="Z257" s="4"/>
      <c r="AG257" s="4"/>
      <c r="AH257" s="33"/>
      <c r="AI257" s="33"/>
      <c r="AJ257" s="33"/>
      <c r="AK257" s="33"/>
      <c r="AL257" s="33"/>
      <c r="AM257" s="29" t="s">
        <v>381</v>
      </c>
      <c r="AN257" s="36"/>
      <c r="AO257" s="33"/>
      <c r="AP257" s="36"/>
      <c r="AQ257" s="33"/>
      <c r="AR257" s="36"/>
      <c r="AS257" s="36"/>
      <c r="AT257" s="38"/>
    </row>
    <row r="258" spans="1:46">
      <c r="A258" s="17" t="s">
        <v>46</v>
      </c>
      <c r="B258" s="4" t="s">
        <v>382</v>
      </c>
      <c r="C258" s="4">
        <v>38</v>
      </c>
      <c r="D258" s="4" t="s">
        <v>48</v>
      </c>
      <c r="E258" s="4"/>
      <c r="F258" s="4" t="s">
        <v>56</v>
      </c>
      <c r="G258" s="19" t="s">
        <v>57</v>
      </c>
      <c r="H258" s="19">
        <v>44997</v>
      </c>
      <c r="I258" s="19">
        <v>45278</v>
      </c>
      <c r="J258" s="34">
        <f t="shared" si="15"/>
        <v>282</v>
      </c>
      <c r="K258" s="4"/>
      <c r="L258" s="4"/>
      <c r="M258" s="33"/>
      <c r="N258" s="4"/>
      <c r="O258" s="21" t="s">
        <v>172</v>
      </c>
      <c r="P258" s="35"/>
      <c r="Q258" s="36"/>
      <c r="R258" s="37" t="str">
        <f t="shared" si="16"/>
        <v/>
      </c>
      <c r="S258" s="4"/>
      <c r="T258" s="33"/>
      <c r="U258" s="33"/>
      <c r="V258" s="4"/>
      <c r="W258" s="21" t="s">
        <v>166</v>
      </c>
      <c r="X258" s="21" t="s">
        <v>166</v>
      </c>
      <c r="Y258" s="21" t="s">
        <v>343</v>
      </c>
      <c r="Z258" s="21" t="s">
        <v>343</v>
      </c>
      <c r="AA258" s="10" t="s">
        <v>52</v>
      </c>
      <c r="AG258" s="4"/>
      <c r="AH258" s="33"/>
      <c r="AI258" s="33"/>
      <c r="AJ258" s="33"/>
      <c r="AK258" s="33"/>
      <c r="AL258" s="33"/>
      <c r="AM258" s="11"/>
      <c r="AN258" s="36"/>
      <c r="AO258" s="33"/>
      <c r="AP258" s="36"/>
      <c r="AQ258" s="33"/>
      <c r="AR258" s="36"/>
      <c r="AS258" s="36"/>
      <c r="AT258" s="38"/>
    </row>
    <row r="259" spans="1:46">
      <c r="A259" s="17" t="s">
        <v>46</v>
      </c>
      <c r="B259" s="4" t="s">
        <v>383</v>
      </c>
      <c r="C259" s="4">
        <v>31</v>
      </c>
      <c r="D259" s="4" t="s">
        <v>54</v>
      </c>
      <c r="E259" s="4"/>
      <c r="F259" s="4" t="s">
        <v>49</v>
      </c>
      <c r="G259" s="19">
        <v>45183.6301041667</v>
      </c>
      <c r="H259" s="19">
        <v>44997</v>
      </c>
      <c r="I259" s="19">
        <v>45181</v>
      </c>
      <c r="J259" s="34">
        <f t="shared" si="15"/>
        <v>185</v>
      </c>
      <c r="K259" s="4"/>
      <c r="L259" s="4"/>
      <c r="M259" s="33"/>
      <c r="N259" s="4"/>
      <c r="O259" s="21" t="s">
        <v>166</v>
      </c>
      <c r="P259" s="35"/>
      <c r="Q259" s="36"/>
      <c r="R259" s="37" t="str">
        <f t="shared" si="16"/>
        <v/>
      </c>
      <c r="S259" s="4"/>
      <c r="T259" s="33"/>
      <c r="U259" s="33"/>
      <c r="V259" s="4"/>
      <c r="W259" s="21" t="s">
        <v>166</v>
      </c>
      <c r="X259" s="21" t="s">
        <v>166</v>
      </c>
      <c r="Y259" s="21" t="s">
        <v>166</v>
      </c>
      <c r="Z259" s="21" t="s">
        <v>166</v>
      </c>
      <c r="AA259" s="10" t="s">
        <v>52</v>
      </c>
      <c r="AC259" s="10" t="s">
        <v>52</v>
      </c>
      <c r="AE259" s="10" t="s">
        <v>52</v>
      </c>
      <c r="AG259" s="4"/>
      <c r="AH259" s="33"/>
      <c r="AI259" s="33"/>
      <c r="AJ259" s="33"/>
      <c r="AK259" s="33"/>
      <c r="AL259" s="33"/>
      <c r="AM259" s="11"/>
      <c r="AN259" s="36"/>
      <c r="AO259" s="33"/>
      <c r="AP259" s="36"/>
      <c r="AQ259" s="33"/>
      <c r="AR259" s="36"/>
      <c r="AS259" s="36"/>
      <c r="AT259" s="38"/>
    </row>
    <row r="260" spans="1:46">
      <c r="A260" s="17" t="s">
        <v>46</v>
      </c>
      <c r="B260" s="4" t="s">
        <v>384</v>
      </c>
      <c r="C260" s="4">
        <v>41</v>
      </c>
      <c r="D260" s="4" t="s">
        <v>54</v>
      </c>
      <c r="E260" s="4"/>
      <c r="F260" s="4" t="s">
        <v>56</v>
      </c>
      <c r="G260" s="19" t="s">
        <v>57</v>
      </c>
      <c r="H260" s="19">
        <v>45002</v>
      </c>
      <c r="I260" s="19">
        <v>45187</v>
      </c>
      <c r="J260" s="34">
        <f t="shared" si="15"/>
        <v>186</v>
      </c>
      <c r="K260" s="4"/>
      <c r="L260" s="4"/>
      <c r="M260" s="33"/>
      <c r="N260" s="4"/>
      <c r="O260" s="21" t="s">
        <v>166</v>
      </c>
      <c r="P260" s="35"/>
      <c r="Q260" s="36"/>
      <c r="R260" s="37" t="str">
        <f t="shared" si="16"/>
        <v/>
      </c>
      <c r="S260" s="4"/>
      <c r="T260" s="33"/>
      <c r="U260" s="33"/>
      <c r="V260" s="4"/>
      <c r="W260" s="21" t="s">
        <v>166</v>
      </c>
      <c r="X260" s="21" t="s">
        <v>166</v>
      </c>
      <c r="Y260" s="21" t="s">
        <v>343</v>
      </c>
      <c r="Z260" s="21" t="s">
        <v>343</v>
      </c>
      <c r="AA260" s="10" t="s">
        <v>52</v>
      </c>
      <c r="AG260" s="4"/>
      <c r="AH260" s="33"/>
      <c r="AI260" s="33"/>
      <c r="AJ260" s="33"/>
      <c r="AK260" s="33"/>
      <c r="AL260" s="33"/>
      <c r="AM260" s="11"/>
      <c r="AN260" s="36"/>
      <c r="AO260" s="33"/>
      <c r="AP260" s="36"/>
      <c r="AQ260" s="33"/>
      <c r="AR260" s="36"/>
      <c r="AS260" s="36"/>
      <c r="AT260" s="38"/>
    </row>
    <row r="261" spans="1:46">
      <c r="A261" s="17" t="s">
        <v>46</v>
      </c>
      <c r="B261" s="4" t="s">
        <v>385</v>
      </c>
      <c r="C261" s="4">
        <v>42</v>
      </c>
      <c r="D261" s="4" t="s">
        <v>54</v>
      </c>
      <c r="E261" s="4"/>
      <c r="F261" s="4" t="s">
        <v>386</v>
      </c>
      <c r="G261" s="19" t="s">
        <v>57</v>
      </c>
      <c r="H261" s="19">
        <v>45007</v>
      </c>
      <c r="I261" s="19"/>
      <c r="J261" s="34" t="str">
        <f t="shared" si="15"/>
        <v/>
      </c>
      <c r="K261" s="4"/>
      <c r="L261" s="4"/>
      <c r="M261" s="33"/>
      <c r="N261" s="4"/>
      <c r="O261" s="4"/>
      <c r="P261" s="35"/>
      <c r="Q261" s="36"/>
      <c r="R261" s="37" t="str">
        <f t="shared" si="16"/>
        <v/>
      </c>
      <c r="S261" s="4"/>
      <c r="T261" s="33"/>
      <c r="U261" s="33"/>
      <c r="V261" s="4"/>
      <c r="W261" s="4"/>
      <c r="X261" s="4"/>
      <c r="Y261" s="4"/>
      <c r="Z261" s="4"/>
      <c r="AG261" s="4"/>
      <c r="AH261" s="33"/>
      <c r="AI261" s="33"/>
      <c r="AJ261" s="33"/>
      <c r="AK261" s="33"/>
      <c r="AL261" s="33"/>
      <c r="AM261" s="11"/>
      <c r="AN261" s="36"/>
      <c r="AO261" s="33"/>
      <c r="AP261" s="36"/>
      <c r="AQ261" s="33"/>
      <c r="AR261" s="36"/>
      <c r="AS261" s="36"/>
      <c r="AT261" s="38"/>
    </row>
    <row r="262" spans="1:46">
      <c r="A262" s="17" t="s">
        <v>46</v>
      </c>
      <c r="B262" s="4" t="s">
        <v>387</v>
      </c>
      <c r="C262" s="4">
        <v>25</v>
      </c>
      <c r="D262" s="4" t="s">
        <v>48</v>
      </c>
      <c r="E262" s="4"/>
      <c r="F262" s="4" t="s">
        <v>388</v>
      </c>
      <c r="G262" s="19" t="s">
        <v>57</v>
      </c>
      <c r="H262" s="19">
        <v>45007</v>
      </c>
      <c r="I262" s="19">
        <v>45653</v>
      </c>
      <c r="J262" s="34">
        <f t="shared" si="15"/>
        <v>647</v>
      </c>
      <c r="K262" s="4"/>
      <c r="L262" s="4"/>
      <c r="M262" s="33"/>
      <c r="N262" s="4"/>
      <c r="O262" s="21" t="s">
        <v>172</v>
      </c>
      <c r="P262" s="35"/>
      <c r="Q262" s="36"/>
      <c r="R262" s="37" t="str">
        <f t="shared" si="16"/>
        <v/>
      </c>
      <c r="S262" s="4"/>
      <c r="T262" s="33"/>
      <c r="U262" s="33"/>
      <c r="V262" s="4"/>
      <c r="W262" s="21" t="s">
        <v>172</v>
      </c>
      <c r="X262" s="21" t="s">
        <v>166</v>
      </c>
      <c r="Y262" s="21" t="s">
        <v>166</v>
      </c>
      <c r="Z262" s="21" t="s">
        <v>166</v>
      </c>
      <c r="AA262" s="10" t="s">
        <v>52</v>
      </c>
      <c r="AC262" s="10" t="s">
        <v>52</v>
      </c>
      <c r="AE262" s="10" t="s">
        <v>52</v>
      </c>
      <c r="AG262" s="4"/>
      <c r="AH262" s="33"/>
      <c r="AI262" s="33"/>
      <c r="AJ262" s="33"/>
      <c r="AK262" s="33"/>
      <c r="AL262" s="33"/>
      <c r="AM262" s="11"/>
      <c r="AN262" s="36"/>
      <c r="AO262" s="33"/>
      <c r="AP262" s="36"/>
      <c r="AQ262" s="33"/>
      <c r="AR262" s="36"/>
      <c r="AS262" s="36"/>
      <c r="AT262" s="38"/>
    </row>
    <row r="263" spans="1:46">
      <c r="A263" s="17" t="s">
        <v>46</v>
      </c>
      <c r="B263" s="4" t="s">
        <v>389</v>
      </c>
      <c r="C263" s="4">
        <v>26</v>
      </c>
      <c r="D263" s="4" t="s">
        <v>48</v>
      </c>
      <c r="E263" s="4"/>
      <c r="F263" s="4" t="s">
        <v>49</v>
      </c>
      <c r="G263" s="19">
        <v>45190.6383564815</v>
      </c>
      <c r="H263" s="19">
        <v>45009</v>
      </c>
      <c r="I263" s="19">
        <v>45196</v>
      </c>
      <c r="J263" s="34">
        <f t="shared" si="15"/>
        <v>188</v>
      </c>
      <c r="K263" s="4"/>
      <c r="L263" s="4"/>
      <c r="M263" s="33"/>
      <c r="N263" s="4"/>
      <c r="O263" s="21" t="s">
        <v>172</v>
      </c>
      <c r="P263" s="21" t="s">
        <v>166</v>
      </c>
      <c r="Q263" s="36"/>
      <c r="R263" s="37" t="str">
        <f t="shared" si="16"/>
        <v/>
      </c>
      <c r="S263" s="4"/>
      <c r="T263" s="33"/>
      <c r="U263" s="33"/>
      <c r="V263" s="4"/>
      <c r="W263" s="21" t="s">
        <v>166</v>
      </c>
      <c r="X263" s="21" t="s">
        <v>166</v>
      </c>
      <c r="Y263" s="21" t="s">
        <v>343</v>
      </c>
      <c r="Z263" s="21" t="s">
        <v>343</v>
      </c>
      <c r="AA263" s="10" t="s">
        <v>52</v>
      </c>
      <c r="AG263" s="4"/>
      <c r="AH263" s="33"/>
      <c r="AI263" s="33"/>
      <c r="AJ263" s="33"/>
      <c r="AK263" s="33"/>
      <c r="AL263" s="33"/>
      <c r="AM263" s="29" t="s">
        <v>390</v>
      </c>
      <c r="AN263" s="36"/>
      <c r="AO263" s="33"/>
      <c r="AP263" s="36"/>
      <c r="AQ263" s="33"/>
      <c r="AR263" s="36"/>
      <c r="AS263" s="36"/>
      <c r="AT263" s="38"/>
    </row>
    <row r="264" spans="1:46">
      <c r="A264" s="17" t="s">
        <v>46</v>
      </c>
      <c r="B264" s="4" t="s">
        <v>391</v>
      </c>
      <c r="C264" s="4">
        <v>39</v>
      </c>
      <c r="D264" s="4" t="s">
        <v>48</v>
      </c>
      <c r="E264" s="4"/>
      <c r="F264" s="4" t="s">
        <v>49</v>
      </c>
      <c r="G264" s="19">
        <v>45218.6059953704</v>
      </c>
      <c r="H264" s="19">
        <v>45025</v>
      </c>
      <c r="I264" s="19">
        <v>45208</v>
      </c>
      <c r="J264" s="34">
        <f t="shared" si="15"/>
        <v>184</v>
      </c>
      <c r="K264" s="4"/>
      <c r="L264" s="4"/>
      <c r="M264" s="33"/>
      <c r="N264" s="4"/>
      <c r="O264" s="21" t="s">
        <v>166</v>
      </c>
      <c r="P264" s="35"/>
      <c r="Q264" s="36"/>
      <c r="R264" s="37" t="str">
        <f t="shared" si="16"/>
        <v/>
      </c>
      <c r="S264" s="4"/>
      <c r="T264" s="33"/>
      <c r="U264" s="33"/>
      <c r="V264" s="4"/>
      <c r="W264" s="21" t="s">
        <v>166</v>
      </c>
      <c r="X264" s="21" t="s">
        <v>166</v>
      </c>
      <c r="Y264" s="21" t="s">
        <v>166</v>
      </c>
      <c r="Z264" s="21" t="s">
        <v>166</v>
      </c>
      <c r="AA264" s="10" t="s">
        <v>52</v>
      </c>
      <c r="AC264" s="10" t="s">
        <v>52</v>
      </c>
      <c r="AE264" s="10" t="s">
        <v>52</v>
      </c>
      <c r="AG264" s="4"/>
      <c r="AH264" s="33"/>
      <c r="AI264" s="33"/>
      <c r="AJ264" s="33"/>
      <c r="AK264" s="33"/>
      <c r="AL264" s="33"/>
      <c r="AM264" s="33"/>
      <c r="AN264" s="36"/>
      <c r="AO264" s="33"/>
      <c r="AP264" s="36"/>
      <c r="AQ264" s="33"/>
      <c r="AR264" s="36"/>
      <c r="AS264" s="36"/>
      <c r="AT264" s="38"/>
    </row>
    <row r="265" spans="1:46">
      <c r="A265" s="17" t="s">
        <v>46</v>
      </c>
      <c r="B265" s="4" t="s">
        <v>392</v>
      </c>
      <c r="C265" s="4">
        <v>31</v>
      </c>
      <c r="D265" s="4" t="s">
        <v>54</v>
      </c>
      <c r="E265" s="4"/>
      <c r="F265" s="4" t="s">
        <v>49</v>
      </c>
      <c r="G265" s="19">
        <v>45211.6240625</v>
      </c>
      <c r="H265" s="19">
        <v>45027</v>
      </c>
      <c r="I265" s="19">
        <v>45302</v>
      </c>
      <c r="J265" s="34">
        <f t="shared" si="15"/>
        <v>276</v>
      </c>
      <c r="K265" s="4"/>
      <c r="L265" s="4"/>
      <c r="M265" s="33"/>
      <c r="N265" s="4"/>
      <c r="O265" s="21" t="s">
        <v>172</v>
      </c>
      <c r="P265" s="21" t="s">
        <v>172</v>
      </c>
      <c r="Q265" s="21" t="s">
        <v>172</v>
      </c>
      <c r="R265" s="21" t="s">
        <v>172</v>
      </c>
      <c r="S265" s="21" t="s">
        <v>172</v>
      </c>
      <c r="T265" s="21" t="s">
        <v>172</v>
      </c>
      <c r="U265" s="21" t="s">
        <v>172</v>
      </c>
      <c r="V265" s="21" t="s">
        <v>172</v>
      </c>
      <c r="W265" s="21" t="s">
        <v>172</v>
      </c>
      <c r="X265" s="21" t="s">
        <v>172</v>
      </c>
      <c r="Y265" s="21" t="s">
        <v>166</v>
      </c>
      <c r="Z265" s="21" t="s">
        <v>166</v>
      </c>
      <c r="AA265" s="10" t="s">
        <v>52</v>
      </c>
      <c r="AC265" s="10" t="s">
        <v>108</v>
      </c>
      <c r="AD265" s="10" t="s">
        <v>123</v>
      </c>
      <c r="AE265" s="10" t="s">
        <v>108</v>
      </c>
      <c r="AF265" s="10" t="s">
        <v>123</v>
      </c>
      <c r="AG265" s="4"/>
      <c r="AH265" s="33"/>
      <c r="AI265" s="33"/>
      <c r="AJ265" s="33"/>
      <c r="AK265" s="33"/>
      <c r="AL265" s="33"/>
      <c r="AM265" s="33"/>
      <c r="AN265" s="36"/>
      <c r="AO265" s="33"/>
      <c r="AP265" s="36"/>
      <c r="AQ265" s="33"/>
      <c r="AR265" s="36"/>
      <c r="AS265" s="36"/>
      <c r="AT265" s="38"/>
    </row>
    <row r="266" ht="30" spans="1:46">
      <c r="A266" s="33" t="s">
        <v>393</v>
      </c>
      <c r="B266" s="4" t="s">
        <v>394</v>
      </c>
      <c r="C266" s="4">
        <v>26</v>
      </c>
      <c r="D266" s="4" t="s">
        <v>48</v>
      </c>
      <c r="E266" s="33"/>
      <c r="F266" s="4" t="s">
        <v>49</v>
      </c>
      <c r="G266" s="19"/>
      <c r="H266" s="19">
        <v>45377.6724652778</v>
      </c>
      <c r="I266" s="19">
        <v>45702</v>
      </c>
      <c r="J266" s="34">
        <f t="shared" si="15"/>
        <v>325.327534722201</v>
      </c>
      <c r="K266" s="4"/>
      <c r="L266" s="4"/>
      <c r="M266" s="33"/>
      <c r="N266" s="4"/>
      <c r="O266" s="21" t="s">
        <v>51</v>
      </c>
      <c r="P266" s="35"/>
      <c r="Q266" s="36"/>
      <c r="R266" s="37" t="str">
        <f t="shared" si="16"/>
        <v/>
      </c>
      <c r="S266" s="4"/>
      <c r="T266" s="33"/>
      <c r="U266" s="33"/>
      <c r="V266" s="4"/>
      <c r="W266" s="21" t="s">
        <v>51</v>
      </c>
      <c r="X266" s="4" t="s">
        <v>51</v>
      </c>
      <c r="Y266" s="4" t="s">
        <v>395</v>
      </c>
      <c r="Z266" s="4" t="s">
        <v>396</v>
      </c>
      <c r="AA266" s="10" t="s">
        <v>52</v>
      </c>
      <c r="AB266" s="10" t="s">
        <v>397</v>
      </c>
      <c r="AC266" s="10" t="s">
        <v>52</v>
      </c>
      <c r="AD266" s="10" t="s">
        <v>397</v>
      </c>
      <c r="AE266" s="10" t="s">
        <v>397</v>
      </c>
      <c r="AF266" s="10" t="s">
        <v>397</v>
      </c>
      <c r="AG266" s="4" t="s">
        <v>398</v>
      </c>
      <c r="AH266" s="33"/>
      <c r="AI266" s="33"/>
      <c r="AJ266" s="33"/>
      <c r="AK266" s="33"/>
      <c r="AL266" s="33"/>
      <c r="AM266" s="33"/>
      <c r="AN266" s="36"/>
      <c r="AO266" s="33"/>
      <c r="AP266" s="36"/>
      <c r="AQ266" s="33"/>
      <c r="AR266" s="36"/>
      <c r="AS266" s="36"/>
      <c r="AT266" s="38"/>
    </row>
    <row r="267" ht="30" spans="1:46">
      <c r="A267" s="33" t="s">
        <v>393</v>
      </c>
      <c r="B267" s="4" t="s">
        <v>399</v>
      </c>
      <c r="C267" s="4">
        <v>43</v>
      </c>
      <c r="D267" s="4" t="s">
        <v>54</v>
      </c>
      <c r="E267" s="33"/>
      <c r="F267" s="4" t="s">
        <v>400</v>
      </c>
      <c r="G267" s="19">
        <v>45174</v>
      </c>
      <c r="H267" s="19">
        <v>45012.6305671296</v>
      </c>
      <c r="I267" s="19">
        <v>45286</v>
      </c>
      <c r="J267" s="34">
        <f t="shared" si="15"/>
        <v>274.3694328704</v>
      </c>
      <c r="K267" s="4"/>
      <c r="L267" s="4"/>
      <c r="M267" s="33"/>
      <c r="N267" s="4"/>
      <c r="O267" s="21" t="s">
        <v>51</v>
      </c>
      <c r="P267" s="35"/>
      <c r="Q267" s="36"/>
      <c r="R267" s="37" t="str">
        <f t="shared" si="16"/>
        <v/>
      </c>
      <c r="S267" s="4"/>
      <c r="T267" s="33"/>
      <c r="U267" s="33"/>
      <c r="V267" s="4"/>
      <c r="W267" s="21" t="s">
        <v>343</v>
      </c>
      <c r="X267" s="21" t="s">
        <v>401</v>
      </c>
      <c r="Y267" s="21" t="s">
        <v>343</v>
      </c>
      <c r="Z267" s="21" t="s">
        <v>402</v>
      </c>
      <c r="AA267" s="10" t="s">
        <v>52</v>
      </c>
      <c r="AB267" s="10" t="s">
        <v>397</v>
      </c>
      <c r="AC267" s="10" t="s">
        <v>403</v>
      </c>
      <c r="AD267" s="10" t="s">
        <v>397</v>
      </c>
      <c r="AE267" s="10" t="s">
        <v>397</v>
      </c>
      <c r="AF267" s="10" t="s">
        <v>397</v>
      </c>
      <c r="AG267" s="4" t="s">
        <v>398</v>
      </c>
      <c r="AH267" s="33"/>
      <c r="AI267" s="33"/>
      <c r="AJ267" s="33"/>
      <c r="AK267" s="33"/>
      <c r="AL267" s="33"/>
      <c r="AM267" s="33"/>
      <c r="AN267" s="36"/>
      <c r="AO267" s="33"/>
      <c r="AP267" s="36"/>
      <c r="AQ267" s="33"/>
      <c r="AR267" s="36"/>
      <c r="AS267" s="36"/>
      <c r="AT267" s="38"/>
    </row>
    <row r="268" ht="30" spans="1:46">
      <c r="A268" s="33" t="s">
        <v>393</v>
      </c>
      <c r="B268" s="4" t="s">
        <v>404</v>
      </c>
      <c r="C268" s="4">
        <v>50</v>
      </c>
      <c r="D268" s="4" t="s">
        <v>54</v>
      </c>
      <c r="E268" s="33"/>
      <c r="F268" s="4" t="s">
        <v>405</v>
      </c>
      <c r="G268" s="19">
        <v>45019</v>
      </c>
      <c r="H268" s="19">
        <v>44860.664375</v>
      </c>
      <c r="I268" s="19">
        <v>45043</v>
      </c>
      <c r="J268" s="34">
        <f t="shared" si="15"/>
        <v>183.335625</v>
      </c>
      <c r="K268" s="4"/>
      <c r="L268" s="4"/>
      <c r="M268" s="33"/>
      <c r="N268" s="4"/>
      <c r="O268" s="21" t="s">
        <v>51</v>
      </c>
      <c r="P268" s="35"/>
      <c r="Q268" s="36"/>
      <c r="R268" s="37" t="str">
        <f t="shared" si="16"/>
        <v/>
      </c>
      <c r="S268" s="4"/>
      <c r="T268" s="33"/>
      <c r="U268" s="33"/>
      <c r="V268" s="4"/>
      <c r="W268" s="21" t="s">
        <v>406</v>
      </c>
      <c r="X268" s="21" t="s">
        <v>407</v>
      </c>
      <c r="Y268" s="21" t="s">
        <v>408</v>
      </c>
      <c r="Z268" s="21" t="s">
        <v>409</v>
      </c>
      <c r="AA268" s="10" t="s">
        <v>52</v>
      </c>
      <c r="AB268" s="10" t="s">
        <v>397</v>
      </c>
      <c r="AC268" s="10" t="s">
        <v>52</v>
      </c>
      <c r="AD268" s="10" t="s">
        <v>397</v>
      </c>
      <c r="AE268" s="10" t="s">
        <v>397</v>
      </c>
      <c r="AF268" s="10" t="s">
        <v>397</v>
      </c>
      <c r="AG268" s="4" t="s">
        <v>398</v>
      </c>
      <c r="AH268" s="33"/>
      <c r="AI268" s="33"/>
      <c r="AJ268" s="33"/>
      <c r="AK268" s="33"/>
      <c r="AL268" s="33"/>
      <c r="AM268" s="33"/>
      <c r="AN268" s="36"/>
      <c r="AO268" s="33"/>
      <c r="AP268" s="36"/>
      <c r="AQ268" s="33"/>
      <c r="AR268" s="36"/>
      <c r="AS268" s="36"/>
      <c r="AT268" s="38"/>
    </row>
    <row r="269" ht="30" spans="1:46">
      <c r="A269" s="33" t="s">
        <v>393</v>
      </c>
      <c r="B269" s="4" t="s">
        <v>410</v>
      </c>
      <c r="C269" s="4">
        <v>50</v>
      </c>
      <c r="D269" s="4" t="s">
        <v>48</v>
      </c>
      <c r="E269" s="33"/>
      <c r="F269" s="4" t="s">
        <v>56</v>
      </c>
      <c r="G269" s="19" t="s">
        <v>411</v>
      </c>
      <c r="H269" s="19">
        <v>45054.7216435185</v>
      </c>
      <c r="I269" s="19">
        <v>45585</v>
      </c>
      <c r="J269" s="34">
        <f t="shared" si="15"/>
        <v>531.278356481504</v>
      </c>
      <c r="K269" s="4"/>
      <c r="L269" s="4"/>
      <c r="M269" s="33"/>
      <c r="N269" s="4"/>
      <c r="O269" s="21" t="s">
        <v>50</v>
      </c>
      <c r="P269" s="35"/>
      <c r="Q269" s="36"/>
      <c r="R269" s="37" t="str">
        <f t="shared" si="16"/>
        <v/>
      </c>
      <c r="S269" s="4"/>
      <c r="T269" s="33"/>
      <c r="U269" s="33"/>
      <c r="V269" s="4"/>
      <c r="W269" s="4" t="s">
        <v>51</v>
      </c>
      <c r="X269" s="4" t="s">
        <v>51</v>
      </c>
      <c r="Y269" s="4" t="s">
        <v>412</v>
      </c>
      <c r="Z269" s="4" t="s">
        <v>413</v>
      </c>
      <c r="AA269" s="10" t="s">
        <v>52</v>
      </c>
      <c r="AB269" s="10" t="s">
        <v>397</v>
      </c>
      <c r="AC269" s="10" t="s">
        <v>52</v>
      </c>
      <c r="AD269" s="10" t="s">
        <v>397</v>
      </c>
      <c r="AE269" s="10" t="s">
        <v>397</v>
      </c>
      <c r="AF269" s="10" t="s">
        <v>397</v>
      </c>
      <c r="AG269" s="4" t="s">
        <v>398</v>
      </c>
      <c r="AH269" s="33"/>
      <c r="AI269" s="33"/>
      <c r="AJ269" s="33"/>
      <c r="AK269" s="33"/>
      <c r="AL269" s="33"/>
      <c r="AM269" s="33"/>
      <c r="AN269" s="36"/>
      <c r="AO269" s="33"/>
      <c r="AP269" s="36"/>
      <c r="AQ269" s="33"/>
      <c r="AR269" s="36"/>
      <c r="AS269" s="36"/>
      <c r="AT269" s="38"/>
    </row>
    <row r="270" ht="30" spans="1:46">
      <c r="A270" s="33" t="s">
        <v>393</v>
      </c>
      <c r="B270" s="4" t="s">
        <v>414</v>
      </c>
      <c r="C270" s="4">
        <v>38</v>
      </c>
      <c r="D270" s="4" t="s">
        <v>48</v>
      </c>
      <c r="E270" s="33"/>
      <c r="F270" s="4" t="s">
        <v>49</v>
      </c>
      <c r="G270" s="19" t="s">
        <v>57</v>
      </c>
      <c r="H270" s="19">
        <v>45245.3935069444</v>
      </c>
      <c r="I270" s="19">
        <v>45525</v>
      </c>
      <c r="J270" s="34">
        <f t="shared" si="15"/>
        <v>280.606493055602</v>
      </c>
      <c r="K270" s="4"/>
      <c r="L270" s="4"/>
      <c r="M270" s="33"/>
      <c r="N270" s="4"/>
      <c r="O270" s="21" t="s">
        <v>50</v>
      </c>
      <c r="P270" s="35"/>
      <c r="Q270" s="36"/>
      <c r="R270" s="37" t="str">
        <f t="shared" si="16"/>
        <v/>
      </c>
      <c r="S270" s="4"/>
      <c r="T270" s="33"/>
      <c r="U270" s="33"/>
      <c r="V270" s="4"/>
      <c r="W270" s="21" t="s">
        <v>50</v>
      </c>
      <c r="X270" s="21" t="s">
        <v>51</v>
      </c>
      <c r="Y270" s="21" t="s">
        <v>415</v>
      </c>
      <c r="Z270" s="21" t="s">
        <v>416</v>
      </c>
      <c r="AA270" s="10" t="s">
        <v>52</v>
      </c>
      <c r="AB270" s="10" t="s">
        <v>397</v>
      </c>
      <c r="AC270" s="10" t="s">
        <v>52</v>
      </c>
      <c r="AD270" s="10" t="s">
        <v>397</v>
      </c>
      <c r="AE270" s="10" t="s">
        <v>397</v>
      </c>
      <c r="AF270" s="10" t="s">
        <v>397</v>
      </c>
      <c r="AG270" s="4" t="s">
        <v>398</v>
      </c>
      <c r="AH270" s="33"/>
      <c r="AI270" s="33"/>
      <c r="AJ270" s="33"/>
      <c r="AK270" s="33"/>
      <c r="AL270" s="33"/>
      <c r="AM270" s="33"/>
      <c r="AN270" s="36"/>
      <c r="AO270" s="33"/>
      <c r="AP270" s="36"/>
      <c r="AQ270" s="33"/>
      <c r="AR270" s="36"/>
      <c r="AS270" s="36"/>
      <c r="AT270" s="38"/>
    </row>
    <row r="271" ht="30" spans="1:46">
      <c r="A271" s="33" t="s">
        <v>393</v>
      </c>
      <c r="B271" s="4" t="s">
        <v>417</v>
      </c>
      <c r="C271" s="4">
        <v>31</v>
      </c>
      <c r="D271" s="4" t="s">
        <v>54</v>
      </c>
      <c r="E271" s="33"/>
      <c r="F271" s="4" t="s">
        <v>49</v>
      </c>
      <c r="G271" s="19">
        <v>45418</v>
      </c>
      <c r="H271" s="19">
        <v>45240.3882407407</v>
      </c>
      <c r="I271" s="19">
        <v>45535</v>
      </c>
      <c r="J271" s="34">
        <f t="shared" si="15"/>
        <v>295.6117592593</v>
      </c>
      <c r="K271" s="4"/>
      <c r="L271" s="4"/>
      <c r="M271" s="33"/>
      <c r="N271" s="4"/>
      <c r="O271" s="21" t="s">
        <v>50</v>
      </c>
      <c r="P271" s="35"/>
      <c r="Q271" s="36"/>
      <c r="R271" s="37" t="str">
        <f t="shared" si="16"/>
        <v/>
      </c>
      <c r="S271" s="4"/>
      <c r="T271" s="33"/>
      <c r="U271" s="33"/>
      <c r="V271" s="4"/>
      <c r="W271" s="21" t="s">
        <v>418</v>
      </c>
      <c r="X271" s="21" t="s">
        <v>51</v>
      </c>
      <c r="Y271" s="21" t="s">
        <v>419</v>
      </c>
      <c r="Z271" s="21" t="s">
        <v>420</v>
      </c>
      <c r="AA271" s="10" t="s">
        <v>52</v>
      </c>
      <c r="AB271" s="10" t="s">
        <v>397</v>
      </c>
      <c r="AC271" s="10" t="s">
        <v>52</v>
      </c>
      <c r="AD271" s="10" t="s">
        <v>397</v>
      </c>
      <c r="AE271" s="10" t="s">
        <v>397</v>
      </c>
      <c r="AF271" s="10" t="s">
        <v>397</v>
      </c>
      <c r="AG271" s="4" t="s">
        <v>398</v>
      </c>
      <c r="AH271" s="33"/>
      <c r="AI271" s="33"/>
      <c r="AJ271" s="33"/>
      <c r="AK271" s="33"/>
      <c r="AL271" s="33"/>
      <c r="AM271" s="33"/>
      <c r="AN271" s="36"/>
      <c r="AO271" s="33"/>
      <c r="AP271" s="36"/>
      <c r="AQ271" s="33"/>
      <c r="AR271" s="36"/>
      <c r="AS271" s="36"/>
      <c r="AT271" s="38"/>
    </row>
    <row r="272" ht="30" spans="1:46">
      <c r="A272" s="33" t="s">
        <v>393</v>
      </c>
      <c r="B272" s="4" t="s">
        <v>421</v>
      </c>
      <c r="C272" s="4">
        <v>23</v>
      </c>
      <c r="D272" s="4" t="s">
        <v>54</v>
      </c>
      <c r="E272" s="33"/>
      <c r="F272" s="4" t="s">
        <v>56</v>
      </c>
      <c r="G272" s="19" t="s">
        <v>411</v>
      </c>
      <c r="H272" s="19">
        <v>45322.4194907407</v>
      </c>
      <c r="I272" s="19">
        <v>45526</v>
      </c>
      <c r="J272" s="34">
        <f t="shared" si="15"/>
        <v>204.5805092593</v>
      </c>
      <c r="K272" s="4"/>
      <c r="L272" s="4"/>
      <c r="M272" s="33"/>
      <c r="N272" s="4"/>
      <c r="O272" s="21" t="s">
        <v>51</v>
      </c>
      <c r="P272" s="35"/>
      <c r="Q272" s="36"/>
      <c r="R272" s="37" t="str">
        <f t="shared" si="16"/>
        <v/>
      </c>
      <c r="S272" s="4"/>
      <c r="T272" s="33"/>
      <c r="U272" s="33"/>
      <c r="V272" s="4"/>
      <c r="W272" s="21" t="s">
        <v>51</v>
      </c>
      <c r="X272" s="21" t="s">
        <v>51</v>
      </c>
      <c r="Y272" s="21" t="s">
        <v>422</v>
      </c>
      <c r="Z272" s="21" t="s">
        <v>423</v>
      </c>
      <c r="AA272" s="10" t="s">
        <v>52</v>
      </c>
      <c r="AB272" s="10" t="s">
        <v>397</v>
      </c>
      <c r="AC272" s="10" t="s">
        <v>52</v>
      </c>
      <c r="AD272" s="10" t="s">
        <v>397</v>
      </c>
      <c r="AE272" s="10" t="s">
        <v>397</v>
      </c>
      <c r="AF272" s="10" t="s">
        <v>397</v>
      </c>
      <c r="AG272" s="4" t="s">
        <v>398</v>
      </c>
      <c r="AH272" s="33"/>
      <c r="AI272" s="33"/>
      <c r="AJ272" s="33"/>
      <c r="AK272" s="33"/>
      <c r="AL272" s="33"/>
      <c r="AM272" s="33"/>
      <c r="AN272" s="36"/>
      <c r="AO272" s="33"/>
      <c r="AP272" s="36"/>
      <c r="AQ272" s="33"/>
      <c r="AR272" s="36"/>
      <c r="AS272" s="36"/>
      <c r="AT272" s="38"/>
    </row>
    <row r="273" ht="30" spans="1:46">
      <c r="A273" s="33" t="s">
        <v>393</v>
      </c>
      <c r="B273" s="4" t="s">
        <v>424</v>
      </c>
      <c r="C273" s="4">
        <v>27</v>
      </c>
      <c r="D273" s="4" t="s">
        <v>54</v>
      </c>
      <c r="E273" s="33"/>
      <c r="F273" s="4" t="s">
        <v>425</v>
      </c>
      <c r="G273" s="19" t="s">
        <v>411</v>
      </c>
      <c r="H273" s="19">
        <v>45328.4222569444</v>
      </c>
      <c r="I273" s="19">
        <v>45614</v>
      </c>
      <c r="J273" s="34">
        <f t="shared" si="15"/>
        <v>286.577743055597</v>
      </c>
      <c r="K273" s="4"/>
      <c r="L273" s="4"/>
      <c r="M273" s="33"/>
      <c r="N273" s="4"/>
      <c r="O273" s="21" t="s">
        <v>50</v>
      </c>
      <c r="P273" s="35"/>
      <c r="Q273" s="36"/>
      <c r="R273" s="37" t="str">
        <f t="shared" si="16"/>
        <v/>
      </c>
      <c r="S273" s="4"/>
      <c r="T273" s="33"/>
      <c r="U273" s="33"/>
      <c r="V273" s="4"/>
      <c r="W273" s="21" t="s">
        <v>51</v>
      </c>
      <c r="X273" s="21" t="s">
        <v>51</v>
      </c>
      <c r="Y273" s="21" t="s">
        <v>426</v>
      </c>
      <c r="Z273" s="21" t="s">
        <v>427</v>
      </c>
      <c r="AA273" s="10" t="s">
        <v>52</v>
      </c>
      <c r="AB273" s="10" t="s">
        <v>397</v>
      </c>
      <c r="AC273" s="10" t="s">
        <v>52</v>
      </c>
      <c r="AD273" s="10" t="s">
        <v>397</v>
      </c>
      <c r="AE273" s="10" t="s">
        <v>397</v>
      </c>
      <c r="AF273" s="10" t="s">
        <v>397</v>
      </c>
      <c r="AG273" s="4" t="s">
        <v>398</v>
      </c>
      <c r="AH273" s="33"/>
      <c r="AI273" s="33"/>
      <c r="AJ273" s="33"/>
      <c r="AK273" s="33"/>
      <c r="AL273" s="33"/>
      <c r="AM273" s="33"/>
      <c r="AN273" s="36"/>
      <c r="AO273" s="33"/>
      <c r="AP273" s="36"/>
      <c r="AQ273" s="33"/>
      <c r="AR273" s="36"/>
      <c r="AS273" s="36"/>
      <c r="AT273" s="38"/>
    </row>
    <row r="274" ht="21" customHeight="1" spans="1:46">
      <c r="A274" s="33" t="s">
        <v>393</v>
      </c>
      <c r="B274" s="4" t="s">
        <v>428</v>
      </c>
      <c r="C274" s="4">
        <v>44</v>
      </c>
      <c r="D274" s="4" t="s">
        <v>54</v>
      </c>
      <c r="E274" s="33"/>
      <c r="F274" s="4" t="s">
        <v>56</v>
      </c>
      <c r="G274" s="19" t="s">
        <v>411</v>
      </c>
      <c r="H274" s="19">
        <v>44617.6534259259</v>
      </c>
      <c r="I274" s="19">
        <v>45163</v>
      </c>
      <c r="J274" s="34">
        <f t="shared" si="15"/>
        <v>546.346574074101</v>
      </c>
      <c r="K274" s="4"/>
      <c r="L274" s="4"/>
      <c r="M274" s="33"/>
      <c r="N274" s="4"/>
      <c r="O274" s="21" t="s">
        <v>50</v>
      </c>
      <c r="P274" s="35"/>
      <c r="Q274" s="36"/>
      <c r="R274" s="37" t="str">
        <f t="shared" si="16"/>
        <v/>
      </c>
      <c r="S274" s="4"/>
      <c r="T274" s="33"/>
      <c r="U274" s="33"/>
      <c r="V274" s="4"/>
      <c r="W274" s="21" t="s">
        <v>429</v>
      </c>
      <c r="X274" s="21" t="s">
        <v>430</v>
      </c>
      <c r="Y274" s="21" t="s">
        <v>343</v>
      </c>
      <c r="Z274" s="21" t="s">
        <v>431</v>
      </c>
      <c r="AA274" s="10" t="s">
        <v>52</v>
      </c>
      <c r="AB274" s="10" t="s">
        <v>397</v>
      </c>
      <c r="AC274" s="10" t="s">
        <v>403</v>
      </c>
      <c r="AD274" s="10" t="s">
        <v>397</v>
      </c>
      <c r="AE274" s="10" t="s">
        <v>397</v>
      </c>
      <c r="AF274" s="10" t="s">
        <v>397</v>
      </c>
      <c r="AG274" s="4" t="s">
        <v>398</v>
      </c>
      <c r="AH274" s="33"/>
      <c r="AI274" s="33"/>
      <c r="AJ274" s="33"/>
      <c r="AK274" s="33"/>
      <c r="AL274" s="33"/>
      <c r="AM274" s="33"/>
      <c r="AN274" s="36"/>
      <c r="AO274" s="33"/>
      <c r="AP274" s="36"/>
      <c r="AQ274" s="33"/>
      <c r="AR274" s="36"/>
      <c r="AS274" s="36"/>
      <c r="AT274" s="38"/>
    </row>
    <row r="275" ht="30" spans="1:46">
      <c r="A275" s="33" t="s">
        <v>393</v>
      </c>
      <c r="B275" s="4" t="s">
        <v>432</v>
      </c>
      <c r="C275" s="4">
        <v>27</v>
      </c>
      <c r="D275" s="4" t="s">
        <v>48</v>
      </c>
      <c r="E275" s="33"/>
      <c r="F275" s="4" t="s">
        <v>405</v>
      </c>
      <c r="G275" s="19">
        <v>45418</v>
      </c>
      <c r="H275" s="19">
        <v>45231.4058101852</v>
      </c>
      <c r="I275" s="19">
        <v>45413</v>
      </c>
      <c r="J275" s="34">
        <f t="shared" si="15"/>
        <v>182.594189814801</v>
      </c>
      <c r="K275" s="4"/>
      <c r="L275" s="4"/>
      <c r="M275" s="33"/>
      <c r="N275" s="4"/>
      <c r="O275" s="21" t="s">
        <v>50</v>
      </c>
      <c r="P275" s="35"/>
      <c r="Q275" s="36"/>
      <c r="R275" s="37" t="str">
        <f t="shared" si="16"/>
        <v/>
      </c>
      <c r="S275" s="4"/>
      <c r="T275" s="33"/>
      <c r="U275" s="33"/>
      <c r="V275" s="4"/>
      <c r="W275" s="21" t="s">
        <v>51</v>
      </c>
      <c r="X275" s="4" t="s">
        <v>51</v>
      </c>
      <c r="Y275" s="4" t="s">
        <v>433</v>
      </c>
      <c r="Z275" s="4" t="s">
        <v>434</v>
      </c>
      <c r="AA275" s="10" t="s">
        <v>52</v>
      </c>
      <c r="AB275" s="10" t="s">
        <v>397</v>
      </c>
      <c r="AC275" s="10" t="s">
        <v>52</v>
      </c>
      <c r="AD275" s="10" t="s">
        <v>397</v>
      </c>
      <c r="AE275" s="10" t="s">
        <v>397</v>
      </c>
      <c r="AF275" s="10" t="s">
        <v>397</v>
      </c>
      <c r="AG275" s="4" t="s">
        <v>398</v>
      </c>
      <c r="AH275" s="33"/>
      <c r="AI275" s="33"/>
      <c r="AJ275" s="33"/>
      <c r="AK275" s="33"/>
      <c r="AL275" s="33"/>
      <c r="AM275" s="33"/>
      <c r="AN275" s="36"/>
      <c r="AO275" s="33"/>
      <c r="AP275" s="36"/>
      <c r="AQ275" s="33"/>
      <c r="AR275" s="36"/>
      <c r="AS275" s="36"/>
      <c r="AT275" s="38"/>
    </row>
    <row r="276" ht="16" customHeight="1" spans="1:46">
      <c r="A276" s="33" t="s">
        <v>393</v>
      </c>
      <c r="B276" s="4" t="s">
        <v>435</v>
      </c>
      <c r="C276" s="4">
        <v>47</v>
      </c>
      <c r="D276" s="4" t="s">
        <v>48</v>
      </c>
      <c r="E276" s="33"/>
      <c r="F276" s="4" t="s">
        <v>49</v>
      </c>
      <c r="G276" s="19" t="s">
        <v>57</v>
      </c>
      <c r="H276" s="19">
        <v>45064.7025347222</v>
      </c>
      <c r="I276" s="19">
        <v>45272</v>
      </c>
      <c r="J276" s="34">
        <f t="shared" si="15"/>
        <v>208.297465277799</v>
      </c>
      <c r="K276" s="4"/>
      <c r="L276" s="4"/>
      <c r="M276" s="33"/>
      <c r="N276" s="4"/>
      <c r="O276" s="21" t="s">
        <v>50</v>
      </c>
      <c r="P276" s="35"/>
      <c r="Q276" s="36"/>
      <c r="R276" s="37" t="str">
        <f t="shared" si="16"/>
        <v/>
      </c>
      <c r="S276" s="4"/>
      <c r="T276" s="33"/>
      <c r="U276" s="33"/>
      <c r="V276" s="4"/>
      <c r="W276" s="21" t="s">
        <v>343</v>
      </c>
      <c r="X276" s="4" t="s">
        <v>50</v>
      </c>
      <c r="Y276" s="4" t="s">
        <v>436</v>
      </c>
      <c r="Z276" s="4" t="s">
        <v>437</v>
      </c>
      <c r="AA276" s="10" t="s">
        <v>108</v>
      </c>
      <c r="AB276" s="10" t="s">
        <v>386</v>
      </c>
      <c r="AG276" s="4" t="s">
        <v>386</v>
      </c>
      <c r="AH276" s="33"/>
      <c r="AI276" s="33"/>
      <c r="AJ276" s="33"/>
      <c r="AK276" s="33"/>
      <c r="AL276" s="33"/>
      <c r="AM276" s="33"/>
      <c r="AN276" s="36"/>
      <c r="AO276" s="33"/>
      <c r="AP276" s="36"/>
      <c r="AQ276" s="33"/>
      <c r="AR276" s="36"/>
      <c r="AS276" s="36"/>
      <c r="AT276" s="38"/>
    </row>
    <row r="277" ht="30" spans="1:46">
      <c r="A277" s="33" t="s">
        <v>393</v>
      </c>
      <c r="B277" s="4" t="s">
        <v>438</v>
      </c>
      <c r="C277" s="4">
        <v>30</v>
      </c>
      <c r="D277" s="4" t="s">
        <v>54</v>
      </c>
      <c r="E277" s="33"/>
      <c r="F277" s="4" t="s">
        <v>56</v>
      </c>
      <c r="G277" s="19" t="s">
        <v>411</v>
      </c>
      <c r="H277" s="19">
        <v>45034.6495023148</v>
      </c>
      <c r="I277" s="19">
        <v>45310</v>
      </c>
      <c r="J277" s="34">
        <f t="shared" si="15"/>
        <v>276.350497685198</v>
      </c>
      <c r="K277" s="4"/>
      <c r="L277" s="4"/>
      <c r="M277" s="33"/>
      <c r="N277" s="4"/>
      <c r="O277" s="21" t="s">
        <v>50</v>
      </c>
      <c r="P277" s="21"/>
      <c r="Q277" s="36"/>
      <c r="R277" s="37" t="str">
        <f t="shared" si="16"/>
        <v/>
      </c>
      <c r="S277" s="4"/>
      <c r="T277" s="33"/>
      <c r="U277" s="33"/>
      <c r="V277" s="4"/>
      <c r="W277" s="21" t="s">
        <v>51</v>
      </c>
      <c r="X277" s="21" t="s">
        <v>51</v>
      </c>
      <c r="Y277" s="4" t="s">
        <v>439</v>
      </c>
      <c r="Z277" s="4" t="s">
        <v>440</v>
      </c>
      <c r="AA277" s="10" t="s">
        <v>52</v>
      </c>
      <c r="AB277" s="10" t="s">
        <v>397</v>
      </c>
      <c r="AC277" s="10" t="s">
        <v>52</v>
      </c>
      <c r="AD277" s="10" t="s">
        <v>397</v>
      </c>
      <c r="AE277" s="10" t="s">
        <v>397</v>
      </c>
      <c r="AF277" s="10" t="s">
        <v>397</v>
      </c>
      <c r="AG277" s="4" t="s">
        <v>398</v>
      </c>
      <c r="AH277" s="33"/>
      <c r="AI277" s="33"/>
      <c r="AJ277" s="33"/>
      <c r="AK277" s="33"/>
      <c r="AL277" s="33"/>
      <c r="AM277" s="33"/>
      <c r="AN277" s="36"/>
      <c r="AO277" s="33"/>
      <c r="AP277" s="36"/>
      <c r="AQ277" s="33"/>
      <c r="AR277" s="36"/>
      <c r="AS277" s="36"/>
      <c r="AT277" s="38"/>
    </row>
    <row r="278" ht="30" spans="1:46">
      <c r="A278" s="33" t="s">
        <v>393</v>
      </c>
      <c r="B278" s="4" t="s">
        <v>441</v>
      </c>
      <c r="C278" s="4">
        <v>27</v>
      </c>
      <c r="D278" s="4" t="s">
        <v>54</v>
      </c>
      <c r="E278" s="33"/>
      <c r="F278" s="4" t="s">
        <v>49</v>
      </c>
      <c r="G278" s="19" t="s">
        <v>57</v>
      </c>
      <c r="H278" s="19">
        <v>45377.6589351852</v>
      </c>
      <c r="I278" s="19">
        <v>45649</v>
      </c>
      <c r="J278" s="34">
        <f t="shared" si="15"/>
        <v>272.341064814798</v>
      </c>
      <c r="K278" s="4"/>
      <c r="L278" s="4"/>
      <c r="M278" s="33"/>
      <c r="N278" s="4"/>
      <c r="O278" s="21" t="s">
        <v>50</v>
      </c>
      <c r="P278" s="35"/>
      <c r="Q278" s="36"/>
      <c r="R278" s="37" t="str">
        <f t="shared" si="16"/>
        <v/>
      </c>
      <c r="S278" s="4"/>
      <c r="T278" s="33"/>
      <c r="U278" s="33"/>
      <c r="V278" s="4"/>
      <c r="W278" s="21" t="s">
        <v>51</v>
      </c>
      <c r="X278" s="21" t="s">
        <v>51</v>
      </c>
      <c r="Y278" s="21" t="s">
        <v>442</v>
      </c>
      <c r="Z278" s="21" t="s">
        <v>443</v>
      </c>
      <c r="AA278" s="10" t="s">
        <v>52</v>
      </c>
      <c r="AB278" s="10" t="s">
        <v>397</v>
      </c>
      <c r="AC278" s="10" t="s">
        <v>52</v>
      </c>
      <c r="AD278" s="10" t="s">
        <v>397</v>
      </c>
      <c r="AE278" s="10" t="s">
        <v>397</v>
      </c>
      <c r="AF278" s="10" t="s">
        <v>397</v>
      </c>
      <c r="AG278" s="4" t="s">
        <v>398</v>
      </c>
      <c r="AH278" s="33"/>
      <c r="AI278" s="33"/>
      <c r="AJ278" s="33"/>
      <c r="AK278" s="33"/>
      <c r="AL278" s="33"/>
      <c r="AM278" s="33"/>
      <c r="AN278" s="36"/>
      <c r="AO278" s="33"/>
      <c r="AP278" s="36"/>
      <c r="AQ278" s="33"/>
      <c r="AR278" s="36"/>
      <c r="AS278" s="36"/>
      <c r="AT278" s="38"/>
    </row>
    <row r="279" ht="30" spans="1:46">
      <c r="A279" s="33" t="s">
        <v>393</v>
      </c>
      <c r="B279" s="4" t="s">
        <v>444</v>
      </c>
      <c r="C279" s="4">
        <v>29</v>
      </c>
      <c r="D279" s="4" t="s">
        <v>48</v>
      </c>
      <c r="E279" s="33"/>
      <c r="F279" s="4" t="s">
        <v>400</v>
      </c>
      <c r="G279" s="19">
        <v>45044</v>
      </c>
      <c r="H279" s="19">
        <v>44867.6383449074</v>
      </c>
      <c r="I279" s="19">
        <v>45142</v>
      </c>
      <c r="J279" s="34">
        <f t="shared" si="15"/>
        <v>275.361655092602</v>
      </c>
      <c r="K279" s="4"/>
      <c r="L279" s="4"/>
      <c r="M279" s="33"/>
      <c r="N279" s="4"/>
      <c r="O279" s="21" t="s">
        <v>51</v>
      </c>
      <c r="P279" s="35"/>
      <c r="Q279" s="36"/>
      <c r="R279" s="37" t="str">
        <f t="shared" si="16"/>
        <v/>
      </c>
      <c r="S279" s="4"/>
      <c r="T279" s="33"/>
      <c r="U279" s="33"/>
      <c r="V279" s="4"/>
      <c r="W279" s="21" t="s">
        <v>445</v>
      </c>
      <c r="X279" s="21" t="s">
        <v>51</v>
      </c>
      <c r="Y279" s="21" t="s">
        <v>446</v>
      </c>
      <c r="Z279" s="21" t="s">
        <v>447</v>
      </c>
      <c r="AA279" s="10" t="s">
        <v>52</v>
      </c>
      <c r="AB279" s="10" t="s">
        <v>397</v>
      </c>
      <c r="AC279" s="10" t="s">
        <v>52</v>
      </c>
      <c r="AD279" s="10" t="s">
        <v>397</v>
      </c>
      <c r="AE279" s="10" t="s">
        <v>397</v>
      </c>
      <c r="AF279" s="10" t="s">
        <v>397</v>
      </c>
      <c r="AG279" s="4" t="s">
        <v>398</v>
      </c>
      <c r="AH279" s="33"/>
      <c r="AI279" s="33"/>
      <c r="AJ279" s="33"/>
      <c r="AK279" s="33"/>
      <c r="AL279" s="33"/>
      <c r="AM279" s="33"/>
      <c r="AN279" s="36"/>
      <c r="AO279" s="33"/>
      <c r="AP279" s="36"/>
      <c r="AQ279" s="33"/>
      <c r="AR279" s="36"/>
      <c r="AS279" s="36"/>
      <c r="AT279" s="38"/>
    </row>
    <row r="280" ht="30" spans="1:46">
      <c r="A280" s="33" t="s">
        <v>393</v>
      </c>
      <c r="B280" s="4" t="s">
        <v>448</v>
      </c>
      <c r="C280" s="4">
        <v>37</v>
      </c>
      <c r="D280" s="4" t="s">
        <v>48</v>
      </c>
      <c r="E280" s="33"/>
      <c r="F280" s="4" t="s">
        <v>449</v>
      </c>
      <c r="G280" s="19">
        <v>45209</v>
      </c>
      <c r="H280" s="19">
        <v>45034.3896064815</v>
      </c>
      <c r="I280" s="19">
        <v>45219</v>
      </c>
      <c r="J280" s="34">
        <f t="shared" si="15"/>
        <v>185.610393518502</v>
      </c>
      <c r="K280" s="4"/>
      <c r="L280" s="4"/>
      <c r="M280" s="33"/>
      <c r="N280" s="4"/>
      <c r="O280" s="21" t="s">
        <v>51</v>
      </c>
      <c r="P280" s="35"/>
      <c r="Q280" s="36"/>
      <c r="R280" s="37" t="str">
        <f t="shared" si="16"/>
        <v/>
      </c>
      <c r="S280" s="4"/>
      <c r="T280" s="33"/>
      <c r="U280" s="33"/>
      <c r="V280" s="4"/>
      <c r="W280" s="21" t="s">
        <v>343</v>
      </c>
      <c r="X280" s="21" t="s">
        <v>51</v>
      </c>
      <c r="Y280" s="21" t="s">
        <v>450</v>
      </c>
      <c r="Z280" s="21" t="s">
        <v>451</v>
      </c>
      <c r="AA280" s="10" t="s">
        <v>52</v>
      </c>
      <c r="AB280" s="10" t="s">
        <v>397</v>
      </c>
      <c r="AC280" s="10" t="s">
        <v>52</v>
      </c>
      <c r="AD280" s="10" t="s">
        <v>397</v>
      </c>
      <c r="AE280" s="10" t="s">
        <v>397</v>
      </c>
      <c r="AF280" s="10" t="s">
        <v>397</v>
      </c>
      <c r="AG280" s="4" t="s">
        <v>398</v>
      </c>
      <c r="AH280" s="33"/>
      <c r="AI280" s="33"/>
      <c r="AJ280" s="33"/>
      <c r="AK280" s="33"/>
      <c r="AL280" s="33"/>
      <c r="AM280" s="33"/>
      <c r="AN280" s="36"/>
      <c r="AO280" s="33"/>
      <c r="AP280" s="36"/>
      <c r="AQ280" s="33"/>
      <c r="AR280" s="36"/>
      <c r="AS280" s="36"/>
      <c r="AT280" s="38"/>
    </row>
    <row r="281" ht="24" customHeight="1" spans="1:46">
      <c r="A281" s="33" t="s">
        <v>393</v>
      </c>
      <c r="B281" s="4" t="s">
        <v>452</v>
      </c>
      <c r="C281" s="4">
        <v>33</v>
      </c>
      <c r="D281" s="4" t="s">
        <v>48</v>
      </c>
      <c r="E281" s="33"/>
      <c r="F281" s="4" t="s">
        <v>405</v>
      </c>
      <c r="G281" s="19">
        <v>45120</v>
      </c>
      <c r="H281" s="19">
        <v>44943.5726851852</v>
      </c>
      <c r="I281" s="19">
        <v>45124</v>
      </c>
      <c r="J281" s="34">
        <f t="shared" si="15"/>
        <v>181.427314814799</v>
      </c>
      <c r="K281" s="4"/>
      <c r="L281" s="4"/>
      <c r="M281" s="33"/>
      <c r="N281" s="4"/>
      <c r="O281" s="4" t="s">
        <v>50</v>
      </c>
      <c r="P281" s="35"/>
      <c r="Q281" s="36"/>
      <c r="R281" s="37" t="str">
        <f t="shared" si="16"/>
        <v/>
      </c>
      <c r="S281" s="4"/>
      <c r="T281" s="33"/>
      <c r="U281" s="33"/>
      <c r="V281" s="4"/>
      <c r="W281" s="4" t="s">
        <v>453</v>
      </c>
      <c r="X281" s="4" t="s">
        <v>51</v>
      </c>
      <c r="Y281" s="4" t="s">
        <v>454</v>
      </c>
      <c r="Z281" s="4" t="s">
        <v>455</v>
      </c>
      <c r="AA281" s="10" t="s">
        <v>108</v>
      </c>
      <c r="AB281" s="10" t="s">
        <v>456</v>
      </c>
      <c r="AG281" s="4" t="s">
        <v>456</v>
      </c>
      <c r="AH281" s="33"/>
      <c r="AI281" s="33"/>
      <c r="AJ281" s="33"/>
      <c r="AK281" s="33"/>
      <c r="AL281" s="33"/>
      <c r="AM281" s="33"/>
      <c r="AN281" s="36"/>
      <c r="AO281" s="33"/>
      <c r="AP281" s="36"/>
      <c r="AQ281" s="33"/>
      <c r="AR281" s="36"/>
      <c r="AS281" s="36"/>
      <c r="AT281" s="38"/>
    </row>
    <row r="282" ht="30" spans="1:46">
      <c r="A282" s="33" t="s">
        <v>393</v>
      </c>
      <c r="B282" s="4" t="s">
        <v>457</v>
      </c>
      <c r="C282" s="4">
        <v>41</v>
      </c>
      <c r="D282" s="4" t="s">
        <v>48</v>
      </c>
      <c r="E282" s="33"/>
      <c r="F282" s="4" t="s">
        <v>400</v>
      </c>
      <c r="G282" s="19">
        <v>45019</v>
      </c>
      <c r="H282" s="19">
        <v>44854.8091782407</v>
      </c>
      <c r="I282" s="19">
        <v>45131</v>
      </c>
      <c r="J282" s="34">
        <f t="shared" si="15"/>
        <v>277.190821759301</v>
      </c>
      <c r="K282" s="4"/>
      <c r="L282" s="4"/>
      <c r="M282" s="33"/>
      <c r="N282" s="4"/>
      <c r="O282" s="21" t="s">
        <v>51</v>
      </c>
      <c r="P282" s="35"/>
      <c r="Q282" s="36"/>
      <c r="R282" s="37" t="str">
        <f t="shared" si="16"/>
        <v/>
      </c>
      <c r="S282" s="4"/>
      <c r="T282" s="33"/>
      <c r="U282" s="33"/>
      <c r="V282" s="4"/>
      <c r="W282" s="21" t="s">
        <v>458</v>
      </c>
      <c r="X282" s="21" t="s">
        <v>459</v>
      </c>
      <c r="Y282" s="21" t="s">
        <v>460</v>
      </c>
      <c r="Z282" s="21" t="s">
        <v>461</v>
      </c>
      <c r="AA282" s="10" t="s">
        <v>52</v>
      </c>
      <c r="AB282" s="10" t="s">
        <v>397</v>
      </c>
      <c r="AC282" s="10" t="s">
        <v>52</v>
      </c>
      <c r="AD282" s="10" t="s">
        <v>397</v>
      </c>
      <c r="AE282" s="10" t="s">
        <v>397</v>
      </c>
      <c r="AF282" s="10" t="s">
        <v>397</v>
      </c>
      <c r="AG282" s="4" t="s">
        <v>398</v>
      </c>
      <c r="AH282" s="33"/>
      <c r="AI282" s="33"/>
      <c r="AJ282" s="33"/>
      <c r="AK282" s="33"/>
      <c r="AL282" s="33"/>
      <c r="AM282" s="33"/>
      <c r="AN282" s="36"/>
      <c r="AO282" s="33"/>
      <c r="AP282" s="36"/>
      <c r="AQ282" s="33"/>
      <c r="AR282" s="36"/>
      <c r="AS282" s="36"/>
      <c r="AT282" s="38"/>
    </row>
    <row r="283" ht="30" spans="1:46">
      <c r="A283" s="33" t="s">
        <v>393</v>
      </c>
      <c r="B283" s="4" t="s">
        <v>462</v>
      </c>
      <c r="C283" s="4">
        <v>31</v>
      </c>
      <c r="D283" s="4" t="s">
        <v>54</v>
      </c>
      <c r="E283" s="33"/>
      <c r="F283" s="4" t="s">
        <v>400</v>
      </c>
      <c r="G283" s="19">
        <v>45072</v>
      </c>
      <c r="H283" s="19">
        <v>44918.6586805556</v>
      </c>
      <c r="I283" s="19">
        <v>45194</v>
      </c>
      <c r="J283" s="34">
        <f t="shared" si="15"/>
        <v>276.3413194444</v>
      </c>
      <c r="K283" s="4"/>
      <c r="L283" s="4"/>
      <c r="M283" s="33"/>
      <c r="N283" s="4"/>
      <c r="O283" s="21" t="s">
        <v>51</v>
      </c>
      <c r="P283" s="21"/>
      <c r="Q283" s="36"/>
      <c r="R283" s="37" t="str">
        <f t="shared" si="16"/>
        <v/>
      </c>
      <c r="S283" s="4"/>
      <c r="T283" s="33"/>
      <c r="U283" s="33"/>
      <c r="V283" s="4"/>
      <c r="W283" s="21" t="s">
        <v>463</v>
      </c>
      <c r="X283" s="21" t="s">
        <v>51</v>
      </c>
      <c r="Y283" s="21" t="s">
        <v>464</v>
      </c>
      <c r="Z283" s="21" t="s">
        <v>465</v>
      </c>
      <c r="AA283" s="10" t="s">
        <v>52</v>
      </c>
      <c r="AB283" s="10" t="s">
        <v>397</v>
      </c>
      <c r="AC283" s="10" t="s">
        <v>52</v>
      </c>
      <c r="AD283" s="10" t="s">
        <v>397</v>
      </c>
      <c r="AE283" s="10" t="s">
        <v>397</v>
      </c>
      <c r="AF283" s="10" t="s">
        <v>397</v>
      </c>
      <c r="AG283" s="4" t="s">
        <v>398</v>
      </c>
      <c r="AH283" s="33"/>
      <c r="AI283" s="33"/>
      <c r="AJ283" s="33"/>
      <c r="AK283" s="33"/>
      <c r="AL283" s="33"/>
      <c r="AM283" s="33"/>
      <c r="AN283" s="36"/>
      <c r="AO283" s="33"/>
      <c r="AP283" s="36"/>
      <c r="AQ283" s="33"/>
      <c r="AR283" s="36"/>
      <c r="AS283" s="36"/>
      <c r="AT283" s="38"/>
    </row>
    <row r="284" ht="30" spans="1:46">
      <c r="A284" s="33" t="s">
        <v>393</v>
      </c>
      <c r="B284" s="4" t="s">
        <v>466</v>
      </c>
      <c r="C284" s="4">
        <v>50</v>
      </c>
      <c r="D284" s="4" t="s">
        <v>48</v>
      </c>
      <c r="E284" s="33"/>
      <c r="F284" s="4" t="s">
        <v>405</v>
      </c>
      <c r="G284" s="19">
        <v>44994</v>
      </c>
      <c r="H284" s="19">
        <v>44833.6661342593</v>
      </c>
      <c r="I284" s="19">
        <v>45013</v>
      </c>
      <c r="J284" s="34">
        <f t="shared" si="15"/>
        <v>180.3338657407</v>
      </c>
      <c r="K284" s="4"/>
      <c r="L284" s="4"/>
      <c r="M284" s="33"/>
      <c r="N284" s="4"/>
      <c r="O284" s="21" t="s">
        <v>50</v>
      </c>
      <c r="P284" s="35"/>
      <c r="Q284" s="36"/>
      <c r="R284" s="37" t="str">
        <f t="shared" si="16"/>
        <v/>
      </c>
      <c r="S284" s="4"/>
      <c r="T284" s="33"/>
      <c r="U284" s="33"/>
      <c r="V284" s="4"/>
      <c r="W284" s="21" t="s">
        <v>467</v>
      </c>
      <c r="X284" s="4" t="s">
        <v>468</v>
      </c>
      <c r="Y284" s="4" t="s">
        <v>469</v>
      </c>
      <c r="Z284" s="4" t="s">
        <v>470</v>
      </c>
      <c r="AA284" s="10" t="s">
        <v>52</v>
      </c>
      <c r="AB284" s="10" t="s">
        <v>397</v>
      </c>
      <c r="AC284" s="10" t="s">
        <v>52</v>
      </c>
      <c r="AD284" s="10" t="s">
        <v>397</v>
      </c>
      <c r="AE284" s="10" t="s">
        <v>397</v>
      </c>
      <c r="AF284" s="10" t="s">
        <v>397</v>
      </c>
      <c r="AG284" s="4" t="s">
        <v>398</v>
      </c>
      <c r="AH284" s="33"/>
      <c r="AI284" s="33"/>
      <c r="AJ284" s="33"/>
      <c r="AK284" s="33"/>
      <c r="AL284" s="33"/>
      <c r="AM284" s="33"/>
      <c r="AN284" s="36"/>
      <c r="AO284" s="33"/>
      <c r="AP284" s="36"/>
      <c r="AQ284" s="33"/>
      <c r="AR284" s="36"/>
      <c r="AS284" s="36"/>
      <c r="AT284" s="38"/>
    </row>
    <row r="285" ht="30" spans="1:46">
      <c r="A285" s="33" t="s">
        <v>393</v>
      </c>
      <c r="B285" s="4" t="s">
        <v>471</v>
      </c>
      <c r="C285" s="4">
        <v>61</v>
      </c>
      <c r="D285" s="4" t="s">
        <v>54</v>
      </c>
      <c r="E285" s="33"/>
      <c r="F285" s="4" t="s">
        <v>405</v>
      </c>
      <c r="G285" s="19">
        <v>45019</v>
      </c>
      <c r="H285" s="19">
        <v>44846.6510532407</v>
      </c>
      <c r="I285" s="19">
        <v>45040</v>
      </c>
      <c r="J285" s="34">
        <f t="shared" si="15"/>
        <v>194.348946759303</v>
      </c>
      <c r="K285" s="4"/>
      <c r="L285" s="4"/>
      <c r="M285" s="33"/>
      <c r="N285" s="4"/>
      <c r="O285" s="21" t="s">
        <v>50</v>
      </c>
      <c r="P285" s="35"/>
      <c r="Q285" s="36"/>
      <c r="R285" s="37" t="str">
        <f t="shared" si="16"/>
        <v/>
      </c>
      <c r="S285" s="4"/>
      <c r="T285" s="33"/>
      <c r="U285" s="33"/>
      <c r="V285" s="4"/>
      <c r="W285" s="21" t="s">
        <v>406</v>
      </c>
      <c r="X285" s="21" t="s">
        <v>472</v>
      </c>
      <c r="Y285" s="21" t="s">
        <v>473</v>
      </c>
      <c r="Z285" s="21" t="s">
        <v>464</v>
      </c>
      <c r="AA285" s="10" t="s">
        <v>52</v>
      </c>
      <c r="AB285" s="10" t="s">
        <v>397</v>
      </c>
      <c r="AC285" s="10" t="s">
        <v>52</v>
      </c>
      <c r="AD285" s="10" t="s">
        <v>397</v>
      </c>
      <c r="AE285" s="10" t="s">
        <v>397</v>
      </c>
      <c r="AF285" s="10" t="s">
        <v>397</v>
      </c>
      <c r="AG285" s="4" t="s">
        <v>398</v>
      </c>
      <c r="AH285" s="33"/>
      <c r="AI285" s="33"/>
      <c r="AJ285" s="33"/>
      <c r="AK285" s="33"/>
      <c r="AL285" s="33"/>
      <c r="AM285" s="33"/>
      <c r="AN285" s="36"/>
      <c r="AO285" s="33"/>
      <c r="AP285" s="36"/>
      <c r="AQ285" s="33"/>
      <c r="AR285" s="36"/>
      <c r="AS285" s="36"/>
      <c r="AT285" s="38"/>
    </row>
    <row r="286" ht="31" customHeight="1" spans="1:46">
      <c r="A286" s="33" t="s">
        <v>393</v>
      </c>
      <c r="B286" s="4" t="s">
        <v>474</v>
      </c>
      <c r="C286" s="4">
        <v>28</v>
      </c>
      <c r="D286" s="4" t="s">
        <v>54</v>
      </c>
      <c r="E286" s="33"/>
      <c r="F286" s="4" t="s">
        <v>49</v>
      </c>
      <c r="G286" s="19" t="s">
        <v>57</v>
      </c>
      <c r="H286" s="19">
        <v>45023.476087963</v>
      </c>
      <c r="I286" s="19">
        <v>45575</v>
      </c>
      <c r="J286" s="34">
        <f t="shared" si="15"/>
        <v>552.523912037002</v>
      </c>
      <c r="K286" s="4"/>
      <c r="L286" s="4"/>
      <c r="M286" s="33"/>
      <c r="N286" s="4"/>
      <c r="O286" s="21" t="s">
        <v>50</v>
      </c>
      <c r="P286" s="35"/>
      <c r="Q286" s="36"/>
      <c r="R286" s="37" t="str">
        <f t="shared" si="16"/>
        <v/>
      </c>
      <c r="S286" s="4"/>
      <c r="T286" s="33"/>
      <c r="U286" s="33"/>
      <c r="V286" s="4"/>
      <c r="W286" s="21" t="s">
        <v>343</v>
      </c>
      <c r="X286" s="21" t="s">
        <v>51</v>
      </c>
      <c r="Y286" s="21" t="s">
        <v>475</v>
      </c>
      <c r="Z286" s="21" t="s">
        <v>51</v>
      </c>
      <c r="AA286" s="10" t="s">
        <v>108</v>
      </c>
      <c r="AB286" s="10" t="s">
        <v>386</v>
      </c>
      <c r="AG286" s="4" t="s">
        <v>386</v>
      </c>
      <c r="AH286" s="33"/>
      <c r="AI286" s="33"/>
      <c r="AJ286" s="33"/>
      <c r="AK286" s="33"/>
      <c r="AL286" s="33"/>
      <c r="AM286" s="33"/>
      <c r="AN286" s="36"/>
      <c r="AO286" s="33"/>
      <c r="AP286" s="36"/>
      <c r="AQ286" s="33"/>
      <c r="AR286" s="36"/>
      <c r="AS286" s="36"/>
      <c r="AT286" s="38"/>
    </row>
    <row r="287" spans="1:46">
      <c r="A287" s="33" t="s">
        <v>393</v>
      </c>
      <c r="B287" s="4" t="s">
        <v>476</v>
      </c>
      <c r="C287" s="4">
        <v>43</v>
      </c>
      <c r="D287" s="4" t="s">
        <v>48</v>
      </c>
      <c r="E287" s="33"/>
      <c r="F287" s="4" t="s">
        <v>56</v>
      </c>
      <c r="G287" s="19" t="s">
        <v>411</v>
      </c>
      <c r="H287" s="19">
        <v>45359.5466550926</v>
      </c>
      <c r="I287" s="19">
        <v>45588</v>
      </c>
      <c r="J287" s="34">
        <f t="shared" si="15"/>
        <v>229.453344907401</v>
      </c>
      <c r="K287" s="4"/>
      <c r="L287" s="4"/>
      <c r="M287" s="33"/>
      <c r="N287" s="4"/>
      <c r="O287" s="21" t="s">
        <v>50</v>
      </c>
      <c r="P287" s="35"/>
      <c r="Q287" s="36"/>
      <c r="R287" s="37" t="str">
        <f t="shared" si="16"/>
        <v/>
      </c>
      <c r="S287" s="4"/>
      <c r="T287" s="33"/>
      <c r="U287" s="33"/>
      <c r="V287" s="4"/>
      <c r="W287" s="4" t="s">
        <v>51</v>
      </c>
      <c r="X287" s="4" t="s">
        <v>51</v>
      </c>
      <c r="Y287" s="4" t="s">
        <v>477</v>
      </c>
      <c r="Z287" s="4" t="s">
        <v>51</v>
      </c>
      <c r="AA287" s="10" t="s">
        <v>52</v>
      </c>
      <c r="AB287" s="10" t="s">
        <v>397</v>
      </c>
      <c r="AC287" s="10" t="s">
        <v>52</v>
      </c>
      <c r="AD287" s="10" t="s">
        <v>397</v>
      </c>
      <c r="AE287" s="10" t="s">
        <v>397</v>
      </c>
      <c r="AF287" s="10" t="s">
        <v>397</v>
      </c>
      <c r="AG287" s="4" t="s">
        <v>398</v>
      </c>
      <c r="AH287" s="33"/>
      <c r="AI287" s="33"/>
      <c r="AJ287" s="33"/>
      <c r="AK287" s="33"/>
      <c r="AL287" s="33"/>
      <c r="AM287" s="33"/>
      <c r="AN287" s="36"/>
      <c r="AO287" s="33"/>
      <c r="AP287" s="36"/>
      <c r="AQ287" s="33"/>
      <c r="AR287" s="36"/>
      <c r="AS287" s="36"/>
      <c r="AT287" s="38"/>
    </row>
    <row r="288" spans="1:46">
      <c r="A288" s="33" t="s">
        <v>393</v>
      </c>
      <c r="B288" s="4" t="s">
        <v>478</v>
      </c>
      <c r="C288" s="4">
        <v>62</v>
      </c>
      <c r="D288" s="4" t="s">
        <v>48</v>
      </c>
      <c r="E288" s="33"/>
      <c r="F288" s="4" t="s">
        <v>56</v>
      </c>
      <c r="G288" s="19" t="s">
        <v>411</v>
      </c>
      <c r="H288" s="19">
        <v>45009.6152314815</v>
      </c>
      <c r="I288" s="19">
        <v>45596</v>
      </c>
      <c r="J288" s="34">
        <f t="shared" si="15"/>
        <v>587.384768518503</v>
      </c>
      <c r="K288" s="4"/>
      <c r="L288" s="4"/>
      <c r="M288" s="33"/>
      <c r="N288" s="4"/>
      <c r="O288" s="21" t="s">
        <v>51</v>
      </c>
      <c r="P288" s="35"/>
      <c r="Q288" s="36"/>
      <c r="R288" s="37" t="str">
        <f t="shared" si="16"/>
        <v/>
      </c>
      <c r="S288" s="4"/>
      <c r="T288" s="33"/>
      <c r="U288" s="33"/>
      <c r="V288" s="4"/>
      <c r="W288" s="21" t="s">
        <v>51</v>
      </c>
      <c r="X288" s="21" t="s">
        <v>51</v>
      </c>
      <c r="Y288" s="21" t="s">
        <v>51</v>
      </c>
      <c r="Z288" s="21" t="s">
        <v>51</v>
      </c>
      <c r="AA288" s="10" t="s">
        <v>52</v>
      </c>
      <c r="AB288" s="10" t="s">
        <v>397</v>
      </c>
      <c r="AC288" s="10" t="s">
        <v>52</v>
      </c>
      <c r="AD288" s="10" t="s">
        <v>397</v>
      </c>
      <c r="AE288" s="10" t="s">
        <v>397</v>
      </c>
      <c r="AF288" s="10" t="s">
        <v>397</v>
      </c>
      <c r="AG288" s="4" t="s">
        <v>398</v>
      </c>
      <c r="AH288" s="33"/>
      <c r="AI288" s="33"/>
      <c r="AJ288" s="33"/>
      <c r="AK288" s="33"/>
      <c r="AL288" s="33"/>
      <c r="AM288" s="33"/>
      <c r="AN288" s="36"/>
      <c r="AO288" s="33"/>
      <c r="AP288" s="36"/>
      <c r="AQ288" s="33"/>
      <c r="AR288" s="36"/>
      <c r="AS288" s="36"/>
      <c r="AT288" s="38"/>
    </row>
    <row r="289" spans="1:46">
      <c r="A289" s="33" t="s">
        <v>393</v>
      </c>
      <c r="B289" s="4" t="s">
        <v>479</v>
      </c>
      <c r="C289" s="4">
        <v>35</v>
      </c>
      <c r="D289" s="4" t="s">
        <v>48</v>
      </c>
      <c r="E289" s="33"/>
      <c r="F289" s="4" t="s">
        <v>405</v>
      </c>
      <c r="G289" s="19">
        <v>45072</v>
      </c>
      <c r="H289" s="19">
        <v>44921.6939814815</v>
      </c>
      <c r="I289" s="19">
        <v>45110</v>
      </c>
      <c r="J289" s="34">
        <f t="shared" si="15"/>
        <v>189.306018518502</v>
      </c>
      <c r="K289" s="4"/>
      <c r="L289" s="4"/>
      <c r="M289" s="33"/>
      <c r="N289" s="4"/>
      <c r="O289" s="21" t="s">
        <v>50</v>
      </c>
      <c r="P289" s="35"/>
      <c r="Q289" s="36"/>
      <c r="R289" s="37" t="str">
        <f t="shared" si="16"/>
        <v/>
      </c>
      <c r="S289" s="4"/>
      <c r="T289" s="33"/>
      <c r="U289" s="33"/>
      <c r="V289" s="4"/>
      <c r="W289" s="21" t="s">
        <v>51</v>
      </c>
      <c r="X289" s="21" t="s">
        <v>51</v>
      </c>
      <c r="Y289" s="21" t="s">
        <v>480</v>
      </c>
      <c r="Z289" s="21" t="s">
        <v>51</v>
      </c>
      <c r="AA289" s="10" t="s">
        <v>52</v>
      </c>
      <c r="AB289" s="10" t="s">
        <v>397</v>
      </c>
      <c r="AC289" s="10" t="s">
        <v>52</v>
      </c>
      <c r="AD289" s="10" t="s">
        <v>397</v>
      </c>
      <c r="AE289" s="10" t="s">
        <v>397</v>
      </c>
      <c r="AF289" s="10" t="s">
        <v>397</v>
      </c>
      <c r="AG289" s="4" t="s">
        <v>398</v>
      </c>
      <c r="AH289" s="33"/>
      <c r="AI289" s="33"/>
      <c r="AJ289" s="33"/>
      <c r="AK289" s="33"/>
      <c r="AL289" s="33"/>
      <c r="AM289" s="33"/>
      <c r="AN289" s="36"/>
      <c r="AO289" s="33"/>
      <c r="AP289" s="36"/>
      <c r="AQ289" s="33"/>
      <c r="AR289" s="36"/>
      <c r="AS289" s="36"/>
      <c r="AT289" s="38"/>
    </row>
    <row r="290" ht="30" spans="1:46">
      <c r="A290" s="33" t="s">
        <v>393</v>
      </c>
      <c r="B290" s="4" t="s">
        <v>481</v>
      </c>
      <c r="C290" s="4">
        <v>48</v>
      </c>
      <c r="D290" s="4" t="s">
        <v>48</v>
      </c>
      <c r="E290" s="33"/>
      <c r="F290" s="4" t="s">
        <v>56</v>
      </c>
      <c r="G290" s="19" t="s">
        <v>411</v>
      </c>
      <c r="H290" s="19">
        <v>44806.725150463</v>
      </c>
      <c r="I290" s="19">
        <v>45078</v>
      </c>
      <c r="J290" s="34">
        <f t="shared" si="15"/>
        <v>272.274849537003</v>
      </c>
      <c r="K290" s="4"/>
      <c r="L290" s="4"/>
      <c r="M290" s="33"/>
      <c r="N290" s="4"/>
      <c r="O290" s="21" t="s">
        <v>51</v>
      </c>
      <c r="P290" s="35"/>
      <c r="Q290" s="36"/>
      <c r="R290" s="37" t="str">
        <f t="shared" si="16"/>
        <v/>
      </c>
      <c r="S290" s="4"/>
      <c r="T290" s="33"/>
      <c r="U290" s="33"/>
      <c r="V290" s="4"/>
      <c r="W290" s="21" t="s">
        <v>482</v>
      </c>
      <c r="X290" s="21" t="s">
        <v>51</v>
      </c>
      <c r="Y290" s="21" t="s">
        <v>483</v>
      </c>
      <c r="Z290" s="21" t="s">
        <v>51</v>
      </c>
      <c r="AA290" s="10" t="s">
        <v>52</v>
      </c>
      <c r="AB290" s="10" t="s">
        <v>397</v>
      </c>
      <c r="AC290" s="10" t="s">
        <v>52</v>
      </c>
      <c r="AD290" s="10" t="s">
        <v>397</v>
      </c>
      <c r="AE290" s="10" t="s">
        <v>397</v>
      </c>
      <c r="AF290" s="10" t="s">
        <v>397</v>
      </c>
      <c r="AG290" s="4" t="s">
        <v>398</v>
      </c>
      <c r="AH290" s="33"/>
      <c r="AI290" s="33"/>
      <c r="AJ290" s="33"/>
      <c r="AK290" s="33"/>
      <c r="AL290" s="33"/>
      <c r="AM290" s="33"/>
      <c r="AN290" s="36"/>
      <c r="AO290" s="33"/>
      <c r="AP290" s="36"/>
      <c r="AQ290" s="33"/>
      <c r="AR290" s="36"/>
      <c r="AS290" s="36"/>
      <c r="AT290" s="38"/>
    </row>
    <row r="291" spans="1:46">
      <c r="A291" s="33" t="s">
        <v>393</v>
      </c>
      <c r="B291" s="4" t="s">
        <v>484</v>
      </c>
      <c r="C291" s="4">
        <v>61</v>
      </c>
      <c r="D291" s="4" t="s">
        <v>48</v>
      </c>
      <c r="E291" s="33"/>
      <c r="F291" s="4" t="s">
        <v>49</v>
      </c>
      <c r="G291" s="19">
        <v>45644</v>
      </c>
      <c r="H291" s="19">
        <v>45457.4559953704</v>
      </c>
      <c r="I291" s="19">
        <v>45741</v>
      </c>
      <c r="J291" s="34">
        <f t="shared" si="15"/>
        <v>284.544004629599</v>
      </c>
      <c r="K291" s="4"/>
      <c r="L291" s="4"/>
      <c r="M291" s="33"/>
      <c r="N291" s="4"/>
      <c r="O291" s="21" t="s">
        <v>50</v>
      </c>
      <c r="P291" s="35"/>
      <c r="Q291" s="36"/>
      <c r="R291" s="37" t="str">
        <f t="shared" si="16"/>
        <v/>
      </c>
      <c r="S291" s="4"/>
      <c r="T291" s="33"/>
      <c r="U291" s="33"/>
      <c r="V291" s="4"/>
      <c r="W291" s="21" t="s">
        <v>51</v>
      </c>
      <c r="X291" s="21" t="s">
        <v>51</v>
      </c>
      <c r="Y291" s="21" t="s">
        <v>485</v>
      </c>
      <c r="Z291" s="21" t="s">
        <v>475</v>
      </c>
      <c r="AA291" s="10" t="s">
        <v>52</v>
      </c>
      <c r="AB291" s="10" t="s">
        <v>397</v>
      </c>
      <c r="AC291" s="10" t="s">
        <v>52</v>
      </c>
      <c r="AD291" s="10" t="s">
        <v>397</v>
      </c>
      <c r="AE291" s="10" t="s">
        <v>397</v>
      </c>
      <c r="AF291" s="10" t="s">
        <v>397</v>
      </c>
      <c r="AG291" s="4" t="s">
        <v>398</v>
      </c>
      <c r="AH291" s="33"/>
      <c r="AI291" s="33"/>
      <c r="AJ291" s="33"/>
      <c r="AK291" s="33"/>
      <c r="AL291" s="33"/>
      <c r="AM291" s="33"/>
      <c r="AN291" s="36"/>
      <c r="AO291" s="33"/>
      <c r="AP291" s="36"/>
      <c r="AQ291" s="33"/>
      <c r="AR291" s="36"/>
      <c r="AS291" s="36"/>
      <c r="AT291" s="38"/>
    </row>
    <row r="292" spans="1:46">
      <c r="A292" s="33" t="s">
        <v>393</v>
      </c>
      <c r="B292" s="4" t="s">
        <v>486</v>
      </c>
      <c r="C292" s="4">
        <v>47</v>
      </c>
      <c r="D292" s="4" t="s">
        <v>54</v>
      </c>
      <c r="E292" s="33"/>
      <c r="F292" s="4" t="s">
        <v>400</v>
      </c>
      <c r="G292" s="19">
        <v>45327</v>
      </c>
      <c r="H292" s="19">
        <v>45162.0154513889</v>
      </c>
      <c r="I292" s="19">
        <v>45439</v>
      </c>
      <c r="J292" s="34">
        <f t="shared" si="15"/>
        <v>277.984548611101</v>
      </c>
      <c r="K292" s="4"/>
      <c r="L292" s="4"/>
      <c r="M292" s="33"/>
      <c r="N292" s="4"/>
      <c r="O292" s="21" t="s">
        <v>50</v>
      </c>
      <c r="P292" s="35"/>
      <c r="Q292" s="36"/>
      <c r="R292" s="37" t="str">
        <f t="shared" si="16"/>
        <v/>
      </c>
      <c r="S292" s="4"/>
      <c r="T292" s="33"/>
      <c r="U292" s="33"/>
      <c r="V292" s="4"/>
      <c r="W292" s="21" t="s">
        <v>51</v>
      </c>
      <c r="X292" s="21" t="s">
        <v>51</v>
      </c>
      <c r="Y292" s="21" t="s">
        <v>487</v>
      </c>
      <c r="Z292" s="21" t="s">
        <v>475</v>
      </c>
      <c r="AA292" s="10" t="s">
        <v>52</v>
      </c>
      <c r="AB292" s="10" t="s">
        <v>397</v>
      </c>
      <c r="AC292" s="10" t="s">
        <v>52</v>
      </c>
      <c r="AD292" s="10" t="s">
        <v>397</v>
      </c>
      <c r="AE292" s="10" t="s">
        <v>397</v>
      </c>
      <c r="AF292" s="10" t="s">
        <v>397</v>
      </c>
      <c r="AG292" s="4" t="s">
        <v>398</v>
      </c>
      <c r="AH292" s="33"/>
      <c r="AI292" s="33"/>
      <c r="AJ292" s="33"/>
      <c r="AK292" s="33"/>
      <c r="AL292" s="33"/>
      <c r="AM292" s="33"/>
      <c r="AN292" s="36"/>
      <c r="AO292" s="33"/>
      <c r="AP292" s="36"/>
      <c r="AQ292" s="33"/>
      <c r="AR292" s="36"/>
      <c r="AS292" s="36"/>
      <c r="AT292" s="38"/>
    </row>
    <row r="293" spans="1:46">
      <c r="A293" s="33" t="s">
        <v>393</v>
      </c>
      <c r="B293" s="4" t="s">
        <v>488</v>
      </c>
      <c r="C293" s="4">
        <v>35</v>
      </c>
      <c r="D293" s="4" t="s">
        <v>54</v>
      </c>
      <c r="E293" s="33"/>
      <c r="F293" s="4" t="s">
        <v>56</v>
      </c>
      <c r="G293" s="19" t="s">
        <v>411</v>
      </c>
      <c r="H293" s="19">
        <v>45161.0372916667</v>
      </c>
      <c r="I293" s="19">
        <v>45512</v>
      </c>
      <c r="J293" s="34">
        <f t="shared" si="15"/>
        <v>351.962708333303</v>
      </c>
      <c r="K293" s="4"/>
      <c r="L293" s="4"/>
      <c r="M293" s="33"/>
      <c r="N293" s="4"/>
      <c r="O293" s="21" t="s">
        <v>50</v>
      </c>
      <c r="P293" s="35"/>
      <c r="Q293" s="36"/>
      <c r="R293" s="37" t="str">
        <f t="shared" si="16"/>
        <v/>
      </c>
      <c r="S293" s="4"/>
      <c r="T293" s="33"/>
      <c r="U293" s="33"/>
      <c r="V293" s="4"/>
      <c r="W293" s="21" t="s">
        <v>51</v>
      </c>
      <c r="X293" s="4" t="s">
        <v>51</v>
      </c>
      <c r="Y293" s="4" t="s">
        <v>489</v>
      </c>
      <c r="Z293" s="4" t="s">
        <v>475</v>
      </c>
      <c r="AA293" s="10" t="s">
        <v>52</v>
      </c>
      <c r="AB293" s="10" t="s">
        <v>397</v>
      </c>
      <c r="AC293" s="10" t="s">
        <v>52</v>
      </c>
      <c r="AD293" s="10" t="s">
        <v>397</v>
      </c>
      <c r="AE293" s="10" t="s">
        <v>397</v>
      </c>
      <c r="AF293" s="10" t="s">
        <v>397</v>
      </c>
      <c r="AG293" s="4" t="s">
        <v>398</v>
      </c>
      <c r="AH293" s="33"/>
      <c r="AI293" s="33"/>
      <c r="AJ293" s="33"/>
      <c r="AK293" s="33"/>
      <c r="AL293" s="33"/>
      <c r="AM293" s="33"/>
      <c r="AN293" s="36"/>
      <c r="AO293" s="33"/>
      <c r="AP293" s="36"/>
      <c r="AQ293" s="33"/>
      <c r="AR293" s="36"/>
      <c r="AS293" s="36"/>
      <c r="AT293" s="38"/>
    </row>
    <row r="294" spans="1:46">
      <c r="A294" s="33" t="s">
        <v>393</v>
      </c>
      <c r="B294" s="4" t="s">
        <v>490</v>
      </c>
      <c r="C294" s="4">
        <v>44</v>
      </c>
      <c r="D294" s="4" t="s">
        <v>54</v>
      </c>
      <c r="E294" s="33"/>
      <c r="F294" s="4" t="s">
        <v>56</v>
      </c>
      <c r="G294" s="19" t="s">
        <v>411</v>
      </c>
      <c r="H294" s="19">
        <v>45134.4036342593</v>
      </c>
      <c r="I294" s="19">
        <v>45700</v>
      </c>
      <c r="J294" s="34">
        <f t="shared" si="15"/>
        <v>566.596365740697</v>
      </c>
      <c r="K294" s="4"/>
      <c r="L294" s="4"/>
      <c r="M294" s="33"/>
      <c r="N294" s="4"/>
      <c r="O294" s="21" t="s">
        <v>50</v>
      </c>
      <c r="P294" s="35"/>
      <c r="Q294" s="36"/>
      <c r="R294" s="37" t="str">
        <f t="shared" si="16"/>
        <v/>
      </c>
      <c r="S294" s="4"/>
      <c r="T294" s="33"/>
      <c r="U294" s="33"/>
      <c r="V294" s="4"/>
      <c r="W294" s="21" t="s">
        <v>51</v>
      </c>
      <c r="X294" s="4" t="s">
        <v>51</v>
      </c>
      <c r="Y294" s="4" t="s">
        <v>475</v>
      </c>
      <c r="Z294" s="4" t="s">
        <v>475</v>
      </c>
      <c r="AA294" s="10" t="s">
        <v>52</v>
      </c>
      <c r="AB294" s="10" t="s">
        <v>397</v>
      </c>
      <c r="AC294" s="10" t="s">
        <v>52</v>
      </c>
      <c r="AD294" s="10" t="s">
        <v>397</v>
      </c>
      <c r="AE294" s="10" t="s">
        <v>397</v>
      </c>
      <c r="AF294" s="10" t="s">
        <v>397</v>
      </c>
      <c r="AG294" s="4" t="s">
        <v>398</v>
      </c>
      <c r="AH294" s="33"/>
      <c r="AI294" s="33"/>
      <c r="AJ294" s="33"/>
      <c r="AK294" s="33"/>
      <c r="AL294" s="33"/>
      <c r="AM294" s="33"/>
      <c r="AN294" s="36"/>
      <c r="AO294" s="33"/>
      <c r="AP294" s="36"/>
      <c r="AQ294" s="33"/>
      <c r="AR294" s="36"/>
      <c r="AS294" s="36"/>
      <c r="AT294" s="38"/>
    </row>
    <row r="295" spans="1:46">
      <c r="A295" s="33" t="s">
        <v>393</v>
      </c>
      <c r="B295" s="4" t="s">
        <v>491</v>
      </c>
      <c r="C295" s="4">
        <v>19</v>
      </c>
      <c r="D295" s="4" t="s">
        <v>54</v>
      </c>
      <c r="E295" s="33"/>
      <c r="F295" s="4" t="s">
        <v>405</v>
      </c>
      <c r="G295" s="19">
        <v>45258</v>
      </c>
      <c r="H295" s="19">
        <v>45086.3949537037</v>
      </c>
      <c r="I295" s="19">
        <v>45293</v>
      </c>
      <c r="J295" s="34">
        <f t="shared" si="15"/>
        <v>207.605046296303</v>
      </c>
      <c r="K295" s="4"/>
      <c r="L295" s="4"/>
      <c r="M295" s="33"/>
      <c r="N295" s="4"/>
      <c r="O295" s="21" t="s">
        <v>50</v>
      </c>
      <c r="P295" s="21"/>
      <c r="Q295" s="36"/>
      <c r="R295" s="37" t="str">
        <f t="shared" si="16"/>
        <v/>
      </c>
      <c r="S295" s="4"/>
      <c r="T295" s="33"/>
      <c r="U295" s="33"/>
      <c r="V295" s="4"/>
      <c r="W295" s="21" t="s">
        <v>51</v>
      </c>
      <c r="X295" s="21" t="s">
        <v>51</v>
      </c>
      <c r="Y295" s="4" t="s">
        <v>485</v>
      </c>
      <c r="Z295" s="4" t="s">
        <v>475</v>
      </c>
      <c r="AA295" s="10" t="s">
        <v>52</v>
      </c>
      <c r="AB295" s="10" t="s">
        <v>397</v>
      </c>
      <c r="AC295" s="10" t="s">
        <v>52</v>
      </c>
      <c r="AD295" s="10" t="s">
        <v>397</v>
      </c>
      <c r="AE295" s="10" t="s">
        <v>397</v>
      </c>
      <c r="AF295" s="10" t="s">
        <v>397</v>
      </c>
      <c r="AG295" s="4" t="s">
        <v>398</v>
      </c>
      <c r="AH295" s="33"/>
      <c r="AI295" s="33"/>
      <c r="AJ295" s="33"/>
      <c r="AK295" s="33"/>
      <c r="AL295" s="33"/>
      <c r="AM295" s="33"/>
      <c r="AN295" s="36"/>
      <c r="AO295" s="33"/>
      <c r="AP295" s="36"/>
      <c r="AQ295" s="33"/>
      <c r="AR295" s="36"/>
      <c r="AS295" s="36"/>
      <c r="AT295" s="38"/>
    </row>
    <row r="296" spans="1:46">
      <c r="A296" s="33" t="s">
        <v>393</v>
      </c>
      <c r="B296" s="4" t="s">
        <v>492</v>
      </c>
      <c r="C296" s="4">
        <v>26</v>
      </c>
      <c r="D296" s="4" t="s">
        <v>54</v>
      </c>
      <c r="E296" s="33"/>
      <c r="F296" s="4" t="s">
        <v>400</v>
      </c>
      <c r="G296" s="19" t="s">
        <v>57</v>
      </c>
      <c r="H296" s="19">
        <v>45023.48375</v>
      </c>
      <c r="I296" s="19">
        <v>45303</v>
      </c>
      <c r="J296" s="34">
        <f t="shared" si="15"/>
        <v>280.516250000001</v>
      </c>
      <c r="K296" s="4"/>
      <c r="L296" s="4"/>
      <c r="M296" s="33"/>
      <c r="N296" s="4"/>
      <c r="O296" s="21" t="s">
        <v>50</v>
      </c>
      <c r="P296" s="35"/>
      <c r="Q296" s="36"/>
      <c r="R296" s="37" t="str">
        <f t="shared" si="16"/>
        <v/>
      </c>
      <c r="S296" s="4"/>
      <c r="T296" s="33"/>
      <c r="U296" s="33"/>
      <c r="V296" s="4"/>
      <c r="W296" s="21" t="s">
        <v>51</v>
      </c>
      <c r="X296" s="21" t="s">
        <v>51</v>
      </c>
      <c r="Y296" s="21" t="s">
        <v>343</v>
      </c>
      <c r="Z296" s="21" t="s">
        <v>475</v>
      </c>
      <c r="AA296" s="10" t="s">
        <v>52</v>
      </c>
      <c r="AB296" s="10" t="s">
        <v>397</v>
      </c>
      <c r="AC296" s="10" t="s">
        <v>403</v>
      </c>
      <c r="AD296" s="10" t="s">
        <v>397</v>
      </c>
      <c r="AE296" s="10" t="s">
        <v>397</v>
      </c>
      <c r="AF296" s="10" t="s">
        <v>397</v>
      </c>
      <c r="AG296" s="4" t="s">
        <v>398</v>
      </c>
      <c r="AH296" s="33"/>
      <c r="AI296" s="33"/>
      <c r="AJ296" s="33"/>
      <c r="AK296" s="33"/>
      <c r="AL296" s="33"/>
      <c r="AM296" s="33"/>
      <c r="AN296" s="36"/>
      <c r="AO296" s="33"/>
      <c r="AP296" s="36"/>
      <c r="AQ296" s="33"/>
      <c r="AR296" s="36"/>
      <c r="AS296" s="36"/>
      <c r="AT296" s="38"/>
    </row>
    <row r="297" ht="30" spans="1:46">
      <c r="A297" s="33" t="s">
        <v>393</v>
      </c>
      <c r="B297" s="4" t="s">
        <v>493</v>
      </c>
      <c r="C297" s="4">
        <v>25</v>
      </c>
      <c r="D297" s="4" t="s">
        <v>54</v>
      </c>
      <c r="E297" s="33"/>
      <c r="F297" s="4" t="s">
        <v>494</v>
      </c>
      <c r="G297" s="19" t="s">
        <v>57</v>
      </c>
      <c r="H297" s="19">
        <v>44783.6389351852</v>
      </c>
      <c r="I297" s="19">
        <v>44973</v>
      </c>
      <c r="J297" s="34">
        <f t="shared" si="15"/>
        <v>190.361064814802</v>
      </c>
      <c r="K297" s="4"/>
      <c r="L297" s="4"/>
      <c r="M297" s="33"/>
      <c r="N297" s="4"/>
      <c r="O297" s="21" t="s">
        <v>51</v>
      </c>
      <c r="P297" s="35"/>
      <c r="Q297" s="36"/>
      <c r="R297" s="37" t="str">
        <f t="shared" si="16"/>
        <v/>
      </c>
      <c r="S297" s="4"/>
      <c r="T297" s="33"/>
      <c r="U297" s="33"/>
      <c r="V297" s="4"/>
      <c r="W297" s="21" t="s">
        <v>495</v>
      </c>
      <c r="X297" s="21" t="s">
        <v>51</v>
      </c>
      <c r="Y297" s="21" t="s">
        <v>496</v>
      </c>
      <c r="Z297" s="21" t="s">
        <v>475</v>
      </c>
      <c r="AA297" s="10" t="s">
        <v>52</v>
      </c>
      <c r="AB297" s="10" t="s">
        <v>397</v>
      </c>
      <c r="AC297" s="10" t="s">
        <v>52</v>
      </c>
      <c r="AD297" s="10" t="s">
        <v>397</v>
      </c>
      <c r="AE297" s="10" t="s">
        <v>397</v>
      </c>
      <c r="AF297" s="10" t="s">
        <v>397</v>
      </c>
      <c r="AG297" s="4" t="s">
        <v>398</v>
      </c>
      <c r="AH297" s="33"/>
      <c r="AI297" s="33"/>
      <c r="AJ297" s="33"/>
      <c r="AK297" s="33"/>
      <c r="AL297" s="33"/>
      <c r="AM297" s="33"/>
      <c r="AN297" s="36"/>
      <c r="AO297" s="33"/>
      <c r="AP297" s="36"/>
      <c r="AQ297" s="33"/>
      <c r="AR297" s="36"/>
      <c r="AS297" s="36"/>
      <c r="AT297" s="38"/>
    </row>
    <row r="298" spans="1:46">
      <c r="A298" s="33" t="s">
        <v>393</v>
      </c>
      <c r="B298" s="4" t="s">
        <v>497</v>
      </c>
      <c r="C298" s="4">
        <v>31</v>
      </c>
      <c r="D298" s="4" t="s">
        <v>48</v>
      </c>
      <c r="E298" s="33"/>
      <c r="F298" s="4" t="s">
        <v>56</v>
      </c>
      <c r="G298" s="19" t="s">
        <v>411</v>
      </c>
      <c r="H298" s="19">
        <v>45365.5485185185</v>
      </c>
      <c r="I298" s="19">
        <v>45635</v>
      </c>
      <c r="J298" s="34">
        <f t="shared" si="15"/>
        <v>270.451481481497</v>
      </c>
      <c r="K298" s="4"/>
      <c r="L298" s="4"/>
      <c r="M298" s="33"/>
      <c r="N298" s="4"/>
      <c r="O298" s="21" t="s">
        <v>51</v>
      </c>
      <c r="P298" s="35"/>
      <c r="Q298" s="36"/>
      <c r="R298" s="37" t="str">
        <f t="shared" si="16"/>
        <v/>
      </c>
      <c r="S298" s="4"/>
      <c r="T298" s="33"/>
      <c r="U298" s="33"/>
      <c r="V298" s="4"/>
      <c r="W298" s="21" t="s">
        <v>51</v>
      </c>
      <c r="X298" s="21" t="s">
        <v>51</v>
      </c>
      <c r="Y298" s="21" t="s">
        <v>485</v>
      </c>
      <c r="Z298" s="21" t="s">
        <v>485</v>
      </c>
      <c r="AA298" s="10" t="s">
        <v>52</v>
      </c>
      <c r="AB298" s="10" t="s">
        <v>397</v>
      </c>
      <c r="AC298" s="10" t="s">
        <v>52</v>
      </c>
      <c r="AD298" s="10" t="s">
        <v>397</v>
      </c>
      <c r="AE298" s="10" t="s">
        <v>397</v>
      </c>
      <c r="AF298" s="10" t="s">
        <v>397</v>
      </c>
      <c r="AG298" s="4" t="s">
        <v>398</v>
      </c>
      <c r="AH298" s="33"/>
      <c r="AI298" s="33"/>
      <c r="AJ298" s="33"/>
      <c r="AK298" s="33"/>
      <c r="AL298" s="33"/>
      <c r="AM298" s="33"/>
      <c r="AN298" s="36"/>
      <c r="AO298" s="33"/>
      <c r="AP298" s="36"/>
      <c r="AQ298" s="33"/>
      <c r="AR298" s="36"/>
      <c r="AS298" s="36"/>
      <c r="AT298" s="38"/>
    </row>
    <row r="299" spans="1:46">
      <c r="A299" s="33" t="s">
        <v>393</v>
      </c>
      <c r="B299" s="4" t="s">
        <v>498</v>
      </c>
      <c r="C299" s="4">
        <v>37</v>
      </c>
      <c r="D299" s="4" t="s">
        <v>48</v>
      </c>
      <c r="E299" s="33"/>
      <c r="F299" s="4" t="s">
        <v>56</v>
      </c>
      <c r="G299" s="19" t="s">
        <v>411</v>
      </c>
      <c r="H299" s="19">
        <v>44972.6240277778</v>
      </c>
      <c r="I299" s="19">
        <v>45454</v>
      </c>
      <c r="J299" s="34">
        <f t="shared" si="15"/>
        <v>482.375972222202</v>
      </c>
      <c r="K299" s="4"/>
      <c r="L299" s="4"/>
      <c r="M299" s="33"/>
      <c r="N299" s="4"/>
      <c r="O299" s="4" t="s">
        <v>50</v>
      </c>
      <c r="P299" s="35"/>
      <c r="Q299" s="36"/>
      <c r="R299" s="37" t="str">
        <f t="shared" si="16"/>
        <v/>
      </c>
      <c r="S299" s="4"/>
      <c r="T299" s="33"/>
      <c r="U299" s="33"/>
      <c r="V299" s="4"/>
      <c r="W299" s="4" t="s">
        <v>50</v>
      </c>
      <c r="X299" s="4" t="s">
        <v>51</v>
      </c>
      <c r="Y299" s="4" t="s">
        <v>51</v>
      </c>
      <c r="Z299" s="4" t="s">
        <v>485</v>
      </c>
      <c r="AA299" s="10" t="s">
        <v>52</v>
      </c>
      <c r="AB299" s="10" t="s">
        <v>397</v>
      </c>
      <c r="AC299" s="10" t="s">
        <v>52</v>
      </c>
      <c r="AD299" s="10" t="s">
        <v>397</v>
      </c>
      <c r="AE299" s="10" t="s">
        <v>397</v>
      </c>
      <c r="AF299" s="10" t="s">
        <v>397</v>
      </c>
      <c r="AG299" s="4" t="s">
        <v>398</v>
      </c>
      <c r="AH299" s="33"/>
      <c r="AI299" s="33"/>
      <c r="AJ299" s="33"/>
      <c r="AK299" s="33"/>
      <c r="AL299" s="33"/>
      <c r="AM299" s="33"/>
      <c r="AN299" s="36"/>
      <c r="AO299" s="33"/>
      <c r="AP299" s="36"/>
      <c r="AQ299" s="33"/>
      <c r="AR299" s="36"/>
      <c r="AS299" s="36"/>
      <c r="AT299" s="38"/>
    </row>
    <row r="300" ht="30" spans="1:46">
      <c r="A300" s="33" t="s">
        <v>393</v>
      </c>
      <c r="B300" s="4" t="s">
        <v>499</v>
      </c>
      <c r="C300" s="4">
        <v>62</v>
      </c>
      <c r="D300" s="4" t="s">
        <v>48</v>
      </c>
      <c r="E300" s="33"/>
      <c r="F300" s="4" t="s">
        <v>56</v>
      </c>
      <c r="G300" s="19" t="s">
        <v>411</v>
      </c>
      <c r="H300" s="19">
        <v>44937.6766550926</v>
      </c>
      <c r="I300" s="19">
        <v>45492</v>
      </c>
      <c r="J300" s="34">
        <f t="shared" si="15"/>
        <v>555.323344907403</v>
      </c>
      <c r="K300" s="4"/>
      <c r="L300" s="4"/>
      <c r="M300" s="33"/>
      <c r="N300" s="4"/>
      <c r="O300" s="21" t="s">
        <v>343</v>
      </c>
      <c r="P300" s="35"/>
      <c r="Q300" s="36"/>
      <c r="R300" s="37" t="str">
        <f t="shared" si="16"/>
        <v/>
      </c>
      <c r="S300" s="4"/>
      <c r="T300" s="33"/>
      <c r="U300" s="33"/>
      <c r="V300" s="4"/>
      <c r="W300" s="21" t="s">
        <v>51</v>
      </c>
      <c r="X300" s="21" t="s">
        <v>500</v>
      </c>
      <c r="Y300" s="21" t="s">
        <v>485</v>
      </c>
      <c r="Z300" s="21" t="s">
        <v>485</v>
      </c>
      <c r="AA300" s="10" t="s">
        <v>52</v>
      </c>
      <c r="AB300" s="10" t="s">
        <v>397</v>
      </c>
      <c r="AC300" s="10" t="s">
        <v>52</v>
      </c>
      <c r="AD300" s="10" t="s">
        <v>397</v>
      </c>
      <c r="AE300" s="10" t="s">
        <v>397</v>
      </c>
      <c r="AF300" s="10" t="s">
        <v>397</v>
      </c>
      <c r="AG300" s="4" t="s">
        <v>398</v>
      </c>
      <c r="AH300" s="33"/>
      <c r="AI300" s="33"/>
      <c r="AJ300" s="33"/>
      <c r="AK300" s="33"/>
      <c r="AL300" s="33"/>
      <c r="AM300" s="33"/>
      <c r="AN300" s="36"/>
      <c r="AO300" s="33"/>
      <c r="AP300" s="36"/>
      <c r="AQ300" s="33"/>
      <c r="AR300" s="36"/>
      <c r="AS300" s="36"/>
      <c r="AT300" s="38"/>
    </row>
    <row r="301" spans="1:46">
      <c r="A301" s="33" t="s">
        <v>393</v>
      </c>
      <c r="B301" s="4" t="s">
        <v>501</v>
      </c>
      <c r="C301" s="4">
        <v>28</v>
      </c>
      <c r="D301" s="4" t="s">
        <v>54</v>
      </c>
      <c r="F301" s="4" t="s">
        <v>64</v>
      </c>
      <c r="G301" s="19" t="s">
        <v>411</v>
      </c>
      <c r="H301" s="19">
        <v>45491.53625</v>
      </c>
      <c r="I301" s="19">
        <v>45587</v>
      </c>
      <c r="J301" s="34">
        <f t="shared" si="15"/>
        <v>96.4637500000026</v>
      </c>
      <c r="O301" s="21" t="s">
        <v>50</v>
      </c>
      <c r="P301" s="21"/>
      <c r="Q301" s="36"/>
      <c r="R301" s="37"/>
      <c r="S301" s="4"/>
      <c r="T301" s="33"/>
      <c r="U301" s="33"/>
      <c r="V301" s="4"/>
      <c r="W301" s="21" t="s">
        <v>51</v>
      </c>
      <c r="X301" s="21" t="s">
        <v>343</v>
      </c>
      <c r="Y301" s="21" t="s">
        <v>343</v>
      </c>
      <c r="Z301" s="21" t="s">
        <v>343</v>
      </c>
      <c r="AA301" s="10" t="s">
        <v>108</v>
      </c>
      <c r="AB301" s="10" t="s">
        <v>123</v>
      </c>
      <c r="AD301" s="10" t="s">
        <v>123</v>
      </c>
      <c r="AF301" s="10" t="s">
        <v>123</v>
      </c>
      <c r="AG301" s="4" t="s">
        <v>123</v>
      </c>
    </row>
    <row r="302" spans="1:46">
      <c r="A302" s="33" t="s">
        <v>393</v>
      </c>
      <c r="B302" s="4" t="s">
        <v>502</v>
      </c>
      <c r="C302" s="4">
        <v>50</v>
      </c>
      <c r="D302" s="4" t="s">
        <v>48</v>
      </c>
      <c r="F302" s="4" t="s">
        <v>82</v>
      </c>
      <c r="G302" s="19" t="s">
        <v>57</v>
      </c>
      <c r="H302" s="19">
        <v>45469.7249652778</v>
      </c>
      <c r="I302" s="19">
        <v>45474</v>
      </c>
      <c r="J302" s="34">
        <f t="shared" si="15"/>
        <v>5.27503472220269</v>
      </c>
      <c r="O302" s="21" t="s">
        <v>50</v>
      </c>
      <c r="P302" s="35"/>
      <c r="Q302" s="36"/>
      <c r="R302" s="37"/>
      <c r="S302" s="4"/>
      <c r="T302" s="33"/>
      <c r="U302" s="33"/>
      <c r="V302" s="4"/>
      <c r="W302" s="21" t="s">
        <v>343</v>
      </c>
      <c r="X302" s="4" t="s">
        <v>343</v>
      </c>
      <c r="Y302" s="4" t="s">
        <v>343</v>
      </c>
      <c r="Z302" s="4" t="s">
        <v>343</v>
      </c>
      <c r="AA302" s="10" t="s">
        <v>108</v>
      </c>
      <c r="AB302" s="10" t="s">
        <v>123</v>
      </c>
      <c r="AD302" s="10" t="s">
        <v>123</v>
      </c>
      <c r="AF302" s="10" t="s">
        <v>123</v>
      </c>
      <c r="AG302" s="4" t="s">
        <v>123</v>
      </c>
    </row>
    <row r="303" spans="1:46">
      <c r="A303" s="33" t="s">
        <v>393</v>
      </c>
      <c r="B303" s="4" t="s">
        <v>503</v>
      </c>
      <c r="C303" s="4">
        <v>51</v>
      </c>
      <c r="D303" s="4" t="s">
        <v>48</v>
      </c>
      <c r="F303" s="4" t="s">
        <v>56</v>
      </c>
      <c r="G303" s="19" t="s">
        <v>411</v>
      </c>
      <c r="H303" s="19">
        <v>45126.4009722222</v>
      </c>
      <c r="I303" s="19">
        <v>45267</v>
      </c>
      <c r="J303" s="34">
        <f t="shared" si="15"/>
        <v>141.599027777796</v>
      </c>
      <c r="O303" s="21" t="s">
        <v>50</v>
      </c>
      <c r="P303" s="35"/>
      <c r="Q303" s="36"/>
      <c r="R303" s="37"/>
      <c r="S303" s="4"/>
      <c r="T303" s="33"/>
      <c r="U303" s="33"/>
      <c r="V303" s="4"/>
      <c r="W303" s="21" t="s">
        <v>51</v>
      </c>
      <c r="X303" s="21" t="s">
        <v>343</v>
      </c>
      <c r="Y303" s="21" t="s">
        <v>343</v>
      </c>
      <c r="Z303" s="21" t="s">
        <v>343</v>
      </c>
      <c r="AA303" s="10" t="s">
        <v>108</v>
      </c>
      <c r="AB303" s="10" t="s">
        <v>123</v>
      </c>
      <c r="AD303" s="10" t="s">
        <v>123</v>
      </c>
      <c r="AF303" s="10" t="s">
        <v>123</v>
      </c>
      <c r="AG303" s="4" t="s">
        <v>123</v>
      </c>
    </row>
    <row r="304" spans="1:46">
      <c r="A304" s="33" t="s">
        <v>393</v>
      </c>
      <c r="B304" s="4" t="s">
        <v>504</v>
      </c>
      <c r="C304" s="4">
        <v>31</v>
      </c>
      <c r="D304" s="4" t="s">
        <v>48</v>
      </c>
      <c r="F304" s="4" t="s">
        <v>425</v>
      </c>
      <c r="G304" s="19" t="s">
        <v>411</v>
      </c>
      <c r="H304" s="19">
        <v>45051.7216550926</v>
      </c>
      <c r="I304" s="19">
        <v>45296</v>
      </c>
      <c r="J304" s="34">
        <f t="shared" si="15"/>
        <v>245.278344907398</v>
      </c>
      <c r="O304" s="21" t="s">
        <v>51</v>
      </c>
      <c r="P304" s="35"/>
      <c r="Q304" s="36"/>
      <c r="R304" s="37"/>
      <c r="S304" s="4"/>
      <c r="T304" s="33"/>
      <c r="U304" s="33"/>
      <c r="V304" s="4"/>
      <c r="W304" s="21" t="s">
        <v>51</v>
      </c>
      <c r="X304" s="21" t="s">
        <v>51</v>
      </c>
      <c r="Y304" s="21" t="s">
        <v>343</v>
      </c>
      <c r="Z304" s="21" t="s">
        <v>343</v>
      </c>
      <c r="AA304" s="10" t="s">
        <v>108</v>
      </c>
      <c r="AB304" s="10" t="s">
        <v>123</v>
      </c>
      <c r="AD304" s="10" t="s">
        <v>123</v>
      </c>
      <c r="AF304" s="10" t="s">
        <v>123</v>
      </c>
      <c r="AG304" s="4" t="s">
        <v>123</v>
      </c>
    </row>
    <row r="305" spans="1:33">
      <c r="A305" s="33" t="s">
        <v>393</v>
      </c>
      <c r="B305" s="4" t="s">
        <v>505</v>
      </c>
      <c r="C305" s="4">
        <v>37</v>
      </c>
      <c r="D305" s="4" t="s">
        <v>54</v>
      </c>
      <c r="F305" s="4" t="s">
        <v>405</v>
      </c>
      <c r="G305" s="19">
        <v>45209</v>
      </c>
      <c r="H305" s="19">
        <v>45040.6241666667</v>
      </c>
      <c r="I305" s="19">
        <v>45233</v>
      </c>
      <c r="J305" s="34">
        <f t="shared" ref="J305:J340" si="17">IF(AND(H305&lt;&gt;"",I305&lt;&gt;""),I305-H305+1,"")</f>
        <v>193.375833333303</v>
      </c>
      <c r="O305" s="21" t="s">
        <v>50</v>
      </c>
      <c r="P305" s="35"/>
      <c r="Q305" s="36"/>
      <c r="R305" s="37"/>
      <c r="S305" s="4"/>
      <c r="T305" s="33"/>
      <c r="U305" s="33"/>
      <c r="V305" s="4"/>
      <c r="W305" s="4" t="s">
        <v>51</v>
      </c>
      <c r="X305" s="4" t="s">
        <v>51</v>
      </c>
      <c r="Y305" s="4" t="s">
        <v>343</v>
      </c>
      <c r="Z305" s="4" t="s">
        <v>343</v>
      </c>
      <c r="AA305" s="10" t="s">
        <v>108</v>
      </c>
      <c r="AB305" s="10" t="s">
        <v>123</v>
      </c>
      <c r="AD305" s="10" t="s">
        <v>123</v>
      </c>
      <c r="AF305" s="10" t="s">
        <v>123</v>
      </c>
      <c r="AG305" s="4" t="s">
        <v>123</v>
      </c>
    </row>
    <row r="306" ht="30" spans="1:33">
      <c r="A306" s="33" t="s">
        <v>393</v>
      </c>
      <c r="B306" s="4" t="s">
        <v>506</v>
      </c>
      <c r="C306" s="4">
        <v>28</v>
      </c>
      <c r="D306" s="4" t="s">
        <v>54</v>
      </c>
      <c r="F306" s="4" t="s">
        <v>56</v>
      </c>
      <c r="G306" s="19" t="s">
        <v>411</v>
      </c>
      <c r="H306" s="19">
        <v>45039.7359722222</v>
      </c>
      <c r="I306" s="19">
        <v>45582</v>
      </c>
      <c r="J306" s="34">
        <f t="shared" si="17"/>
        <v>543.264027777797</v>
      </c>
      <c r="O306" s="21" t="s">
        <v>50</v>
      </c>
      <c r="P306" s="35"/>
      <c r="Q306" s="36"/>
      <c r="R306" s="37"/>
      <c r="S306" s="4"/>
      <c r="T306" s="33"/>
      <c r="U306" s="33"/>
      <c r="V306" s="4"/>
      <c r="W306" s="21" t="s">
        <v>51</v>
      </c>
      <c r="X306" s="21" t="s">
        <v>507</v>
      </c>
      <c r="Y306" s="21" t="s">
        <v>343</v>
      </c>
      <c r="Z306" s="21" t="s">
        <v>343</v>
      </c>
      <c r="AA306" s="10" t="s">
        <v>108</v>
      </c>
      <c r="AB306" s="10" t="s">
        <v>123</v>
      </c>
      <c r="AD306" s="10" t="s">
        <v>123</v>
      </c>
      <c r="AF306" s="10" t="s">
        <v>123</v>
      </c>
      <c r="AG306" s="4" t="s">
        <v>123</v>
      </c>
    </row>
    <row r="307" spans="1:33">
      <c r="A307" s="33" t="s">
        <v>393</v>
      </c>
      <c r="B307" s="4" t="s">
        <v>508</v>
      </c>
      <c r="C307" s="4">
        <v>56</v>
      </c>
      <c r="D307" s="4" t="s">
        <v>48</v>
      </c>
      <c r="F307" s="4" t="s">
        <v>56</v>
      </c>
      <c r="G307" s="19" t="s">
        <v>411</v>
      </c>
      <c r="H307" s="19">
        <v>44976.6994907407</v>
      </c>
      <c r="I307" s="19">
        <v>45145</v>
      </c>
      <c r="J307" s="34">
        <f t="shared" si="17"/>
        <v>169.300509259301</v>
      </c>
      <c r="O307" s="21" t="s">
        <v>50</v>
      </c>
      <c r="P307" s="35"/>
      <c r="Q307" s="36"/>
      <c r="R307" s="37"/>
      <c r="S307" s="4"/>
      <c r="T307" s="33"/>
      <c r="U307" s="33"/>
      <c r="V307" s="4"/>
      <c r="W307" s="21" t="s">
        <v>343</v>
      </c>
      <c r="X307" s="21" t="s">
        <v>51</v>
      </c>
      <c r="Y307" s="21" t="s">
        <v>343</v>
      </c>
      <c r="Z307" s="21" t="s">
        <v>343</v>
      </c>
      <c r="AA307" s="10" t="s">
        <v>108</v>
      </c>
      <c r="AB307" s="10" t="s">
        <v>123</v>
      </c>
      <c r="AD307" s="10" t="s">
        <v>123</v>
      </c>
      <c r="AF307" s="10" t="s">
        <v>123</v>
      </c>
      <c r="AG307" s="4" t="s">
        <v>123</v>
      </c>
    </row>
    <row r="308" ht="30" spans="1:33">
      <c r="A308" s="33" t="s">
        <v>393</v>
      </c>
      <c r="B308" s="4" t="s">
        <v>509</v>
      </c>
      <c r="C308" s="4">
        <v>34</v>
      </c>
      <c r="D308" s="4" t="s">
        <v>48</v>
      </c>
      <c r="F308" s="4" t="s">
        <v>56</v>
      </c>
      <c r="G308" s="19" t="s">
        <v>411</v>
      </c>
      <c r="H308" s="19">
        <v>44960.6159259259</v>
      </c>
      <c r="I308" s="19">
        <v>45244</v>
      </c>
      <c r="J308" s="34">
        <f t="shared" si="17"/>
        <v>284.3840740741</v>
      </c>
      <c r="O308" s="21" t="s">
        <v>50</v>
      </c>
      <c r="P308" s="35"/>
      <c r="Q308" s="36"/>
      <c r="R308" s="37"/>
      <c r="S308" s="4"/>
      <c r="T308" s="33"/>
      <c r="U308" s="33"/>
      <c r="V308" s="4"/>
      <c r="W308" s="21" t="s">
        <v>510</v>
      </c>
      <c r="X308" s="21" t="s">
        <v>343</v>
      </c>
      <c r="Y308" s="21" t="s">
        <v>343</v>
      </c>
      <c r="Z308" s="21" t="s">
        <v>343</v>
      </c>
      <c r="AA308" s="10" t="s">
        <v>108</v>
      </c>
      <c r="AB308" s="10" t="s">
        <v>123</v>
      </c>
      <c r="AD308" s="10" t="s">
        <v>123</v>
      </c>
      <c r="AF308" s="10" t="s">
        <v>123</v>
      </c>
      <c r="AG308" s="4" t="s">
        <v>123</v>
      </c>
    </row>
    <row r="309" ht="30" spans="1:33">
      <c r="A309" s="33" t="s">
        <v>393</v>
      </c>
      <c r="B309" s="4" t="s">
        <v>511</v>
      </c>
      <c r="C309" s="4">
        <v>37</v>
      </c>
      <c r="D309" s="4" t="s">
        <v>48</v>
      </c>
      <c r="F309" s="4" t="s">
        <v>400</v>
      </c>
      <c r="G309" s="19">
        <v>44971</v>
      </c>
      <c r="H309" s="19">
        <v>44799.6498958333</v>
      </c>
      <c r="I309" s="19">
        <v>44995</v>
      </c>
      <c r="J309" s="34">
        <f t="shared" si="17"/>
        <v>196.350104166697</v>
      </c>
      <c r="O309" s="21" t="s">
        <v>50</v>
      </c>
      <c r="P309" s="35"/>
      <c r="Q309" s="36"/>
      <c r="R309" s="37"/>
      <c r="S309" s="4"/>
      <c r="T309" s="33"/>
      <c r="U309" s="33"/>
      <c r="V309" s="4"/>
      <c r="W309" s="21" t="s">
        <v>512</v>
      </c>
      <c r="X309" s="21" t="s">
        <v>51</v>
      </c>
      <c r="Y309" s="21" t="s">
        <v>343</v>
      </c>
      <c r="Z309" s="21" t="s">
        <v>343</v>
      </c>
      <c r="AA309" s="10" t="s">
        <v>108</v>
      </c>
      <c r="AB309" s="10" t="s">
        <v>123</v>
      </c>
      <c r="AD309" s="10" t="s">
        <v>123</v>
      </c>
      <c r="AF309" s="10" t="s">
        <v>123</v>
      </c>
      <c r="AG309" s="4" t="s">
        <v>123</v>
      </c>
    </row>
    <row r="310" spans="1:33">
      <c r="A310" s="33" t="s">
        <v>393</v>
      </c>
      <c r="B310" s="4" t="s">
        <v>513</v>
      </c>
      <c r="C310" s="4">
        <v>26</v>
      </c>
      <c r="D310" s="4" t="s">
        <v>48</v>
      </c>
      <c r="F310" s="4" t="s">
        <v>49</v>
      </c>
      <c r="G310" s="19" t="s">
        <v>57</v>
      </c>
      <c r="H310" s="19">
        <v>45426.4403356481</v>
      </c>
      <c r="I310" s="19">
        <v>45484</v>
      </c>
      <c r="J310" s="34">
        <f t="shared" si="17"/>
        <v>58.559664351902</v>
      </c>
      <c r="O310" s="21" t="s">
        <v>50</v>
      </c>
      <c r="P310" s="35"/>
      <c r="Q310" s="36"/>
      <c r="R310" s="37"/>
      <c r="S310" s="4"/>
      <c r="T310" s="33"/>
      <c r="U310" s="33"/>
      <c r="V310" s="4"/>
      <c r="W310" s="21" t="s">
        <v>418</v>
      </c>
      <c r="X310" s="21" t="s">
        <v>343</v>
      </c>
      <c r="Y310" s="21" t="s">
        <v>343</v>
      </c>
      <c r="Z310" s="21" t="s">
        <v>343</v>
      </c>
      <c r="AA310" s="10" t="s">
        <v>108</v>
      </c>
      <c r="AB310" s="10" t="s">
        <v>386</v>
      </c>
      <c r="AD310" s="10" t="s">
        <v>386</v>
      </c>
      <c r="AF310" s="10" t="s">
        <v>386</v>
      </c>
      <c r="AG310" s="4" t="s">
        <v>386</v>
      </c>
    </row>
    <row r="311" spans="1:33">
      <c r="A311" s="33" t="s">
        <v>393</v>
      </c>
      <c r="B311" s="4" t="s">
        <v>514</v>
      </c>
      <c r="C311" s="4">
        <v>31</v>
      </c>
      <c r="D311" s="4" t="s">
        <v>54</v>
      </c>
      <c r="F311" s="4" t="s">
        <v>405</v>
      </c>
      <c r="G311" s="19">
        <v>45582</v>
      </c>
      <c r="H311" s="19">
        <v>45369.4720949074</v>
      </c>
      <c r="I311" s="19">
        <v>45586</v>
      </c>
      <c r="J311" s="34">
        <f t="shared" si="17"/>
        <v>217.527905092596</v>
      </c>
      <c r="O311" s="21" t="s">
        <v>50</v>
      </c>
      <c r="P311" s="35"/>
      <c r="Q311" s="36"/>
      <c r="R311" s="37"/>
      <c r="S311" s="4"/>
      <c r="T311" s="33"/>
      <c r="U311" s="33"/>
      <c r="V311" s="4"/>
      <c r="W311" s="21" t="s">
        <v>51</v>
      </c>
      <c r="X311" s="4" t="s">
        <v>51</v>
      </c>
      <c r="Y311" s="4" t="s">
        <v>515</v>
      </c>
      <c r="Z311" s="4" t="s">
        <v>343</v>
      </c>
      <c r="AA311" s="10" t="s">
        <v>52</v>
      </c>
      <c r="AB311" s="10" t="s">
        <v>397</v>
      </c>
      <c r="AC311" s="10" t="s">
        <v>52</v>
      </c>
      <c r="AD311" s="10" t="s">
        <v>397</v>
      </c>
      <c r="AE311" s="10" t="s">
        <v>516</v>
      </c>
      <c r="AF311" s="10" t="s">
        <v>517</v>
      </c>
      <c r="AG311" s="4" t="s">
        <v>398</v>
      </c>
    </row>
    <row r="312" spans="1:33">
      <c r="A312" s="33" t="s">
        <v>393</v>
      </c>
      <c r="B312" s="4" t="s">
        <v>518</v>
      </c>
      <c r="C312" s="4">
        <v>53</v>
      </c>
      <c r="D312" s="4" t="s">
        <v>54</v>
      </c>
      <c r="F312" s="4" t="s">
        <v>49</v>
      </c>
      <c r="G312" s="19">
        <v>45695</v>
      </c>
      <c r="H312" s="19">
        <v>45505.7275231481</v>
      </c>
      <c r="I312" s="19">
        <v>45691</v>
      </c>
      <c r="J312" s="34">
        <f t="shared" si="17"/>
        <v>186.272476851896</v>
      </c>
      <c r="O312" s="21" t="s">
        <v>50</v>
      </c>
      <c r="P312" s="35"/>
      <c r="Q312" s="36"/>
      <c r="R312" s="37"/>
      <c r="S312" s="4"/>
      <c r="T312" s="33"/>
      <c r="U312" s="33"/>
      <c r="V312" s="4"/>
      <c r="W312" s="21" t="s">
        <v>51</v>
      </c>
      <c r="X312" s="4" t="s">
        <v>51</v>
      </c>
      <c r="Y312" s="4" t="s">
        <v>343</v>
      </c>
      <c r="Z312" s="4" t="s">
        <v>343</v>
      </c>
      <c r="AA312" s="10" t="s">
        <v>52</v>
      </c>
      <c r="AB312" s="10" t="s">
        <v>397</v>
      </c>
      <c r="AC312" s="10" t="s">
        <v>403</v>
      </c>
      <c r="AD312" s="10" t="s">
        <v>397</v>
      </c>
      <c r="AE312" s="10" t="s">
        <v>516</v>
      </c>
      <c r="AF312" s="10" t="s">
        <v>517</v>
      </c>
      <c r="AG312" s="4" t="s">
        <v>398</v>
      </c>
    </row>
    <row r="313" spans="1:33">
      <c r="A313" s="33" t="s">
        <v>393</v>
      </c>
      <c r="B313" s="4" t="s">
        <v>519</v>
      </c>
      <c r="C313" s="4">
        <v>43</v>
      </c>
      <c r="D313" s="4" t="s">
        <v>48</v>
      </c>
      <c r="F313" s="4" t="s">
        <v>49</v>
      </c>
      <c r="G313" s="19">
        <v>45632</v>
      </c>
      <c r="H313" s="19">
        <v>45460.4633912037</v>
      </c>
      <c r="I313" s="19">
        <v>45670</v>
      </c>
      <c r="J313" s="34">
        <f t="shared" si="17"/>
        <v>210.536608796298</v>
      </c>
      <c r="O313" s="21" t="s">
        <v>51</v>
      </c>
      <c r="P313" s="21"/>
      <c r="Q313" s="36"/>
      <c r="R313" s="37"/>
      <c r="S313" s="4"/>
      <c r="T313" s="33"/>
      <c r="U313" s="33"/>
      <c r="V313" s="4"/>
      <c r="W313" s="21" t="s">
        <v>51</v>
      </c>
      <c r="X313" s="21" t="s">
        <v>51</v>
      </c>
      <c r="Y313" s="4" t="s">
        <v>520</v>
      </c>
      <c r="Z313" s="4" t="s">
        <v>343</v>
      </c>
      <c r="AA313" s="10" t="s">
        <v>52</v>
      </c>
      <c r="AB313" s="10" t="s">
        <v>397</v>
      </c>
      <c r="AC313" s="10" t="s">
        <v>52</v>
      </c>
      <c r="AD313" s="10" t="s">
        <v>397</v>
      </c>
      <c r="AE313" s="10" t="s">
        <v>516</v>
      </c>
      <c r="AF313" s="10" t="s">
        <v>517</v>
      </c>
      <c r="AG313" s="4" t="s">
        <v>398</v>
      </c>
    </row>
    <row r="314" spans="1:33">
      <c r="A314" s="33" t="s">
        <v>393</v>
      </c>
      <c r="B314" s="4" t="s">
        <v>521</v>
      </c>
      <c r="C314" s="4">
        <v>38</v>
      </c>
      <c r="D314" s="4" t="s">
        <v>48</v>
      </c>
      <c r="F314" s="4" t="s">
        <v>49</v>
      </c>
      <c r="G314" s="19" t="s">
        <v>57</v>
      </c>
      <c r="H314" s="19">
        <v>45455.4468981481</v>
      </c>
      <c r="I314" s="19">
        <v>46028</v>
      </c>
      <c r="J314" s="34">
        <f t="shared" si="17"/>
        <v>573.553101851903</v>
      </c>
      <c r="O314" s="21" t="s">
        <v>50</v>
      </c>
      <c r="P314" s="35"/>
      <c r="Q314" s="36"/>
      <c r="R314" s="37"/>
      <c r="S314" s="4"/>
      <c r="T314" s="33"/>
      <c r="U314" s="33"/>
      <c r="V314" s="4"/>
      <c r="W314" s="21" t="s">
        <v>51</v>
      </c>
      <c r="X314" s="21" t="s">
        <v>51</v>
      </c>
      <c r="Y314" s="21" t="s">
        <v>343</v>
      </c>
      <c r="Z314" s="21" t="s">
        <v>343</v>
      </c>
      <c r="AA314" s="10" t="s">
        <v>52</v>
      </c>
      <c r="AB314" s="10" t="s">
        <v>397</v>
      </c>
      <c r="AC314" s="10" t="s">
        <v>403</v>
      </c>
      <c r="AD314" s="10" t="s">
        <v>397</v>
      </c>
      <c r="AE314" s="10" t="s">
        <v>516</v>
      </c>
      <c r="AF314" s="10" t="s">
        <v>517</v>
      </c>
      <c r="AG314" s="4" t="s">
        <v>398</v>
      </c>
    </row>
    <row r="315" spans="1:33">
      <c r="A315" s="33" t="s">
        <v>393</v>
      </c>
      <c r="B315" s="4" t="s">
        <v>522</v>
      </c>
      <c r="C315" s="4">
        <v>37</v>
      </c>
      <c r="D315" s="4" t="s">
        <v>48</v>
      </c>
      <c r="F315" s="4" t="s">
        <v>49</v>
      </c>
      <c r="G315" s="19" t="s">
        <v>57</v>
      </c>
      <c r="H315" s="19">
        <v>45385.6787731481</v>
      </c>
      <c r="I315" s="19">
        <v>45670</v>
      </c>
      <c r="J315" s="34">
        <f t="shared" si="17"/>
        <v>285.321226851898</v>
      </c>
      <c r="O315" s="21" t="s">
        <v>50</v>
      </c>
      <c r="P315" s="35"/>
      <c r="Q315" s="36"/>
      <c r="R315" s="37"/>
      <c r="S315" s="4"/>
      <c r="T315" s="33"/>
      <c r="U315" s="33"/>
      <c r="V315" s="4"/>
      <c r="W315" s="21" t="s">
        <v>343</v>
      </c>
      <c r="X315" s="21" t="s">
        <v>51</v>
      </c>
      <c r="Y315" s="21" t="s">
        <v>475</v>
      </c>
      <c r="Z315" s="21" t="s">
        <v>343</v>
      </c>
      <c r="AA315" s="10" t="s">
        <v>52</v>
      </c>
      <c r="AB315" s="10" t="s">
        <v>397</v>
      </c>
      <c r="AC315" s="10" t="s">
        <v>52</v>
      </c>
      <c r="AD315" s="10" t="s">
        <v>397</v>
      </c>
      <c r="AE315" s="10" t="s">
        <v>516</v>
      </c>
      <c r="AF315" s="10" t="s">
        <v>517</v>
      </c>
      <c r="AG315" s="4" t="s">
        <v>398</v>
      </c>
    </row>
    <row r="316" spans="1:33">
      <c r="A316" s="33" t="s">
        <v>393</v>
      </c>
      <c r="B316" s="4" t="s">
        <v>523</v>
      </c>
      <c r="C316" s="4">
        <v>33</v>
      </c>
      <c r="D316" s="4" t="s">
        <v>48</v>
      </c>
      <c r="F316" s="4" t="s">
        <v>56</v>
      </c>
      <c r="G316" s="19" t="s">
        <v>411</v>
      </c>
      <c r="H316" s="19">
        <v>45365.5478240741</v>
      </c>
      <c r="I316" s="19">
        <v>45544</v>
      </c>
      <c r="J316" s="34">
        <f t="shared" si="17"/>
        <v>179.452175925901</v>
      </c>
      <c r="O316" s="21" t="s">
        <v>50</v>
      </c>
      <c r="P316" s="35"/>
      <c r="Q316" s="36"/>
      <c r="R316" s="37"/>
      <c r="S316" s="4"/>
      <c r="T316" s="33"/>
      <c r="U316" s="33"/>
      <c r="V316" s="4"/>
      <c r="W316" s="21" t="s">
        <v>343</v>
      </c>
      <c r="X316" s="21" t="s">
        <v>51</v>
      </c>
      <c r="Y316" s="21" t="s">
        <v>524</v>
      </c>
      <c r="Z316" s="21" t="s">
        <v>343</v>
      </c>
      <c r="AA316" s="10" t="s">
        <v>52</v>
      </c>
      <c r="AB316" s="10" t="s">
        <v>397</v>
      </c>
      <c r="AC316" s="10" t="s">
        <v>52</v>
      </c>
      <c r="AD316" s="10" t="s">
        <v>397</v>
      </c>
      <c r="AE316" s="10" t="s">
        <v>516</v>
      </c>
      <c r="AF316" s="10" t="s">
        <v>517</v>
      </c>
      <c r="AG316" s="4" t="s">
        <v>398</v>
      </c>
    </row>
    <row r="317" spans="1:33">
      <c r="A317" s="33" t="s">
        <v>393</v>
      </c>
      <c r="B317" s="4" t="s">
        <v>525</v>
      </c>
      <c r="C317" s="4">
        <v>44</v>
      </c>
      <c r="D317" s="4" t="s">
        <v>48</v>
      </c>
      <c r="F317" s="4" t="s">
        <v>425</v>
      </c>
      <c r="G317" s="19" t="s">
        <v>411</v>
      </c>
      <c r="H317" s="19">
        <v>45051.0417361111</v>
      </c>
      <c r="I317" s="19">
        <v>45323</v>
      </c>
      <c r="J317" s="34">
        <f t="shared" si="17"/>
        <v>272.958263888897</v>
      </c>
      <c r="O317" s="4" t="s">
        <v>51</v>
      </c>
      <c r="P317" s="35"/>
      <c r="Q317" s="36"/>
      <c r="R317" s="37"/>
      <c r="S317" s="4"/>
      <c r="T317" s="33"/>
      <c r="U317" s="33"/>
      <c r="V317" s="4"/>
      <c r="W317" s="4" t="s">
        <v>51</v>
      </c>
      <c r="X317" s="4" t="s">
        <v>51</v>
      </c>
      <c r="Y317" s="4" t="s">
        <v>485</v>
      </c>
      <c r="Z317" s="4" t="s">
        <v>343</v>
      </c>
      <c r="AA317" s="10" t="s">
        <v>52</v>
      </c>
      <c r="AB317" s="10" t="s">
        <v>397</v>
      </c>
      <c r="AC317" s="10" t="s">
        <v>52</v>
      </c>
      <c r="AD317" s="10" t="s">
        <v>397</v>
      </c>
      <c r="AE317" s="10" t="s">
        <v>516</v>
      </c>
      <c r="AF317" s="10" t="s">
        <v>517</v>
      </c>
      <c r="AG317" s="4" t="s">
        <v>398</v>
      </c>
    </row>
    <row r="318" spans="1:33">
      <c r="A318" s="33" t="s">
        <v>393</v>
      </c>
      <c r="B318" s="4" t="s">
        <v>526</v>
      </c>
      <c r="C318" s="4">
        <v>27</v>
      </c>
      <c r="D318" s="4" t="s">
        <v>48</v>
      </c>
      <c r="F318" s="4" t="s">
        <v>405</v>
      </c>
      <c r="G318" s="19">
        <v>45327</v>
      </c>
      <c r="H318" s="19">
        <v>45166.0231712963</v>
      </c>
      <c r="I318" s="19">
        <v>45341</v>
      </c>
      <c r="J318" s="34">
        <f t="shared" si="17"/>
        <v>175.9768287037</v>
      </c>
      <c r="O318" s="21" t="s">
        <v>51</v>
      </c>
      <c r="P318" s="35"/>
      <c r="Q318" s="36"/>
      <c r="R318" s="37"/>
      <c r="S318" s="4"/>
      <c r="T318" s="33"/>
      <c r="U318" s="33"/>
      <c r="V318" s="4"/>
      <c r="W318" s="21" t="s">
        <v>51</v>
      </c>
      <c r="X318" s="21" t="s">
        <v>51</v>
      </c>
      <c r="Y318" s="21" t="s">
        <v>527</v>
      </c>
      <c r="Z318" s="21" t="s">
        <v>343</v>
      </c>
      <c r="AA318" s="10" t="s">
        <v>52</v>
      </c>
      <c r="AB318" s="10" t="s">
        <v>397</v>
      </c>
      <c r="AC318" s="10" t="s">
        <v>52</v>
      </c>
      <c r="AD318" s="10" t="s">
        <v>397</v>
      </c>
      <c r="AE318" s="10" t="s">
        <v>516</v>
      </c>
      <c r="AF318" s="10" t="s">
        <v>517</v>
      </c>
      <c r="AG318" s="4" t="s">
        <v>398</v>
      </c>
    </row>
    <row r="319" ht="28.5" spans="1:33">
      <c r="A319" s="33" t="s">
        <v>393</v>
      </c>
      <c r="B319" s="4" t="s">
        <v>528</v>
      </c>
      <c r="C319" s="4">
        <v>20</v>
      </c>
      <c r="D319" s="4" t="s">
        <v>54</v>
      </c>
      <c r="F319" s="4" t="s">
        <v>400</v>
      </c>
      <c r="G319" s="19">
        <v>45265</v>
      </c>
      <c r="H319" s="19">
        <v>45107.3969097222</v>
      </c>
      <c r="I319" s="19">
        <v>45383</v>
      </c>
      <c r="J319" s="34">
        <f t="shared" si="17"/>
        <v>276.6030902778</v>
      </c>
      <c r="O319" s="21" t="s">
        <v>50</v>
      </c>
      <c r="P319" s="21"/>
      <c r="Q319" s="36"/>
      <c r="R319" s="37"/>
      <c r="S319" s="4"/>
      <c r="T319" s="33"/>
      <c r="U319" s="33"/>
      <c r="V319" s="4"/>
      <c r="W319" s="21" t="s">
        <v>51</v>
      </c>
      <c r="X319" s="21" t="s">
        <v>529</v>
      </c>
      <c r="Y319" s="21" t="s">
        <v>343</v>
      </c>
      <c r="Z319" s="21" t="s">
        <v>343</v>
      </c>
      <c r="AA319" s="10" t="s">
        <v>52</v>
      </c>
      <c r="AB319" s="10" t="s">
        <v>397</v>
      </c>
      <c r="AC319" s="10" t="s">
        <v>403</v>
      </c>
      <c r="AD319" s="10" t="s">
        <v>397</v>
      </c>
      <c r="AE319" s="10" t="s">
        <v>516</v>
      </c>
      <c r="AF319" s="10" t="s">
        <v>517</v>
      </c>
      <c r="AG319" s="4" t="s">
        <v>398</v>
      </c>
    </row>
    <row r="320" spans="1:33">
      <c r="A320" s="33" t="s">
        <v>393</v>
      </c>
      <c r="B320" s="4" t="s">
        <v>530</v>
      </c>
      <c r="C320" s="4">
        <v>20</v>
      </c>
      <c r="D320" s="4" t="s">
        <v>48</v>
      </c>
      <c r="F320" s="4" t="s">
        <v>400</v>
      </c>
      <c r="G320" s="19" t="s">
        <v>57</v>
      </c>
      <c r="H320" s="19">
        <v>45071.6222106482</v>
      </c>
      <c r="I320" s="19">
        <v>45400</v>
      </c>
      <c r="J320" s="34">
        <f t="shared" si="17"/>
        <v>329.377789351798</v>
      </c>
      <c r="O320" s="21" t="s">
        <v>50</v>
      </c>
      <c r="P320" s="35"/>
      <c r="Q320" s="36"/>
      <c r="R320" s="37"/>
      <c r="S320" s="4"/>
      <c r="T320" s="33"/>
      <c r="U320" s="33"/>
      <c r="V320" s="4"/>
      <c r="W320" s="21" t="s">
        <v>51</v>
      </c>
      <c r="X320" s="4" t="s">
        <v>51</v>
      </c>
      <c r="Y320" s="4" t="s">
        <v>475</v>
      </c>
      <c r="Z320" s="4" t="s">
        <v>343</v>
      </c>
      <c r="AA320" s="10" t="s">
        <v>52</v>
      </c>
      <c r="AB320" s="10" t="s">
        <v>397</v>
      </c>
      <c r="AC320" s="10" t="s">
        <v>52</v>
      </c>
      <c r="AD320" s="10" t="s">
        <v>397</v>
      </c>
      <c r="AE320" s="10" t="s">
        <v>516</v>
      </c>
      <c r="AF320" s="10" t="s">
        <v>517</v>
      </c>
      <c r="AG320" s="4" t="s">
        <v>398</v>
      </c>
    </row>
    <row r="321" spans="1:33">
      <c r="A321" s="33" t="s">
        <v>393</v>
      </c>
      <c r="B321" s="4" t="s">
        <v>531</v>
      </c>
      <c r="C321" s="4">
        <v>48</v>
      </c>
      <c r="D321" s="4" t="s">
        <v>48</v>
      </c>
      <c r="F321" s="4" t="s">
        <v>56</v>
      </c>
      <c r="G321" s="19" t="s">
        <v>411</v>
      </c>
      <c r="H321" s="19">
        <v>45070.6474884259</v>
      </c>
      <c r="I321" s="19">
        <v>45160</v>
      </c>
      <c r="J321" s="34">
        <f t="shared" si="17"/>
        <v>90.3525115740995</v>
      </c>
      <c r="O321" s="21" t="s">
        <v>50</v>
      </c>
      <c r="P321" s="35"/>
      <c r="Q321" s="36"/>
      <c r="R321" s="37"/>
      <c r="S321" s="4"/>
      <c r="T321" s="33"/>
      <c r="U321" s="33"/>
      <c r="V321" s="4"/>
      <c r="W321" s="21" t="s">
        <v>51</v>
      </c>
      <c r="X321" s="21" t="s">
        <v>343</v>
      </c>
      <c r="Y321" s="21" t="s">
        <v>343</v>
      </c>
      <c r="Z321" s="21" t="s">
        <v>343</v>
      </c>
      <c r="AA321" s="10" t="s">
        <v>108</v>
      </c>
      <c r="AB321" s="10" t="s">
        <v>123</v>
      </c>
      <c r="AC321" s="10" t="s">
        <v>108</v>
      </c>
      <c r="AD321" s="10" t="s">
        <v>397</v>
      </c>
      <c r="AF321" s="10" t="s">
        <v>123</v>
      </c>
      <c r="AG321" s="4" t="s">
        <v>123</v>
      </c>
    </row>
    <row r="322" spans="1:33">
      <c r="A322" s="33" t="s">
        <v>393</v>
      </c>
      <c r="B322" s="4" t="s">
        <v>532</v>
      </c>
      <c r="C322" s="4">
        <v>37</v>
      </c>
      <c r="D322" s="4" t="s">
        <v>54</v>
      </c>
      <c r="F322" s="4" t="s">
        <v>405</v>
      </c>
      <c r="G322" s="19">
        <v>45217</v>
      </c>
      <c r="H322" s="19">
        <v>45035.6837037037</v>
      </c>
      <c r="I322" s="19">
        <v>45217</v>
      </c>
      <c r="J322" s="34">
        <f t="shared" si="17"/>
        <v>182.316296296303</v>
      </c>
      <c r="O322" s="21" t="s">
        <v>51</v>
      </c>
      <c r="P322" s="35"/>
      <c r="Q322" s="36"/>
      <c r="R322" s="37"/>
      <c r="S322" s="4"/>
      <c r="T322" s="33"/>
      <c r="U322" s="33"/>
      <c r="V322" s="4"/>
      <c r="W322" s="21" t="s">
        <v>51</v>
      </c>
      <c r="X322" s="21" t="s">
        <v>51</v>
      </c>
      <c r="Y322" s="21" t="s">
        <v>343</v>
      </c>
      <c r="Z322" s="21" t="s">
        <v>343</v>
      </c>
      <c r="AA322" s="10" t="s">
        <v>52</v>
      </c>
      <c r="AB322" s="10" t="s">
        <v>397</v>
      </c>
      <c r="AC322" s="10" t="s">
        <v>403</v>
      </c>
      <c r="AD322" s="10" t="s">
        <v>397</v>
      </c>
      <c r="AE322" s="10" t="s">
        <v>516</v>
      </c>
      <c r="AF322" s="10" t="s">
        <v>517</v>
      </c>
      <c r="AG322" s="4" t="s">
        <v>398</v>
      </c>
    </row>
    <row r="323" ht="30" spans="1:33">
      <c r="A323" s="33" t="s">
        <v>393</v>
      </c>
      <c r="B323" s="4" t="s">
        <v>533</v>
      </c>
      <c r="C323" s="4">
        <v>22</v>
      </c>
      <c r="D323" s="4" t="s">
        <v>48</v>
      </c>
      <c r="F323" s="4" t="s">
        <v>400</v>
      </c>
      <c r="G323" s="19">
        <v>45187</v>
      </c>
      <c r="H323" s="19">
        <v>45023.4816782407</v>
      </c>
      <c r="I323" s="19">
        <v>45306</v>
      </c>
      <c r="J323" s="34">
        <f t="shared" si="17"/>
        <v>283.5183217593</v>
      </c>
      <c r="O323" s="21" t="s">
        <v>50</v>
      </c>
      <c r="P323" s="35"/>
      <c r="Q323" s="36"/>
      <c r="R323" s="37"/>
      <c r="S323" s="4"/>
      <c r="T323" s="33"/>
      <c r="U323" s="33"/>
      <c r="V323" s="4"/>
      <c r="W323" s="4" t="s">
        <v>534</v>
      </c>
      <c r="X323" s="4" t="s">
        <v>51</v>
      </c>
      <c r="Y323" s="4" t="s">
        <v>535</v>
      </c>
      <c r="Z323" s="4" t="s">
        <v>343</v>
      </c>
      <c r="AA323" s="10" t="s">
        <v>52</v>
      </c>
      <c r="AB323" s="10" t="s">
        <v>397</v>
      </c>
      <c r="AC323" s="10" t="s">
        <v>52</v>
      </c>
      <c r="AD323" s="10" t="s">
        <v>397</v>
      </c>
      <c r="AE323" s="10" t="s">
        <v>516</v>
      </c>
      <c r="AF323" s="10" t="s">
        <v>517</v>
      </c>
      <c r="AG323" s="4" t="s">
        <v>398</v>
      </c>
    </row>
    <row r="324" ht="30" spans="1:33">
      <c r="A324" s="33" t="s">
        <v>393</v>
      </c>
      <c r="B324" s="4" t="s">
        <v>536</v>
      </c>
      <c r="C324" s="4">
        <v>46</v>
      </c>
      <c r="D324" s="4" t="s">
        <v>48</v>
      </c>
      <c r="F324" s="4" t="s">
        <v>400</v>
      </c>
      <c r="G324" s="19">
        <v>45044</v>
      </c>
      <c r="H324" s="19">
        <v>44875.6726388889</v>
      </c>
      <c r="I324" s="19">
        <v>45148</v>
      </c>
      <c r="J324" s="34">
        <f t="shared" si="17"/>
        <v>273.3273611111</v>
      </c>
      <c r="O324" s="21" t="s">
        <v>51</v>
      </c>
      <c r="P324" s="35"/>
      <c r="Q324" s="36"/>
      <c r="R324" s="37"/>
      <c r="S324" s="4"/>
      <c r="T324" s="33"/>
      <c r="U324" s="33"/>
      <c r="V324" s="4"/>
      <c r="W324" s="21" t="s">
        <v>537</v>
      </c>
      <c r="X324" s="21" t="s">
        <v>51</v>
      </c>
      <c r="Y324" s="21" t="s">
        <v>51</v>
      </c>
      <c r="Z324" s="21" t="s">
        <v>343</v>
      </c>
      <c r="AA324" s="10" t="s">
        <v>52</v>
      </c>
      <c r="AB324" s="10" t="s">
        <v>397</v>
      </c>
      <c r="AC324" s="10" t="s">
        <v>52</v>
      </c>
      <c r="AD324" s="10" t="s">
        <v>397</v>
      </c>
      <c r="AE324" s="10" t="s">
        <v>516</v>
      </c>
      <c r="AF324" s="10" t="s">
        <v>517</v>
      </c>
      <c r="AG324" s="4" t="s">
        <v>398</v>
      </c>
    </row>
    <row r="325" ht="30" spans="1:33">
      <c r="A325" s="33" t="s">
        <v>393</v>
      </c>
      <c r="B325" s="4" t="s">
        <v>538</v>
      </c>
      <c r="C325" s="4">
        <v>34</v>
      </c>
      <c r="D325" s="4" t="s">
        <v>48</v>
      </c>
      <c r="F325" s="4" t="s">
        <v>405</v>
      </c>
      <c r="G325" s="19">
        <v>45134</v>
      </c>
      <c r="H325" s="19">
        <v>44970.7102893519</v>
      </c>
      <c r="I325" s="19">
        <v>45142</v>
      </c>
      <c r="J325" s="34">
        <f t="shared" si="17"/>
        <v>172.289710648103</v>
      </c>
      <c r="O325" s="21" t="s">
        <v>51</v>
      </c>
      <c r="P325" s="35"/>
      <c r="Q325" s="36"/>
      <c r="R325" s="37"/>
      <c r="S325" s="4"/>
      <c r="T325" s="33"/>
      <c r="U325" s="33"/>
      <c r="V325" s="4"/>
      <c r="W325" s="21" t="s">
        <v>539</v>
      </c>
      <c r="X325" s="21" t="s">
        <v>51</v>
      </c>
      <c r="Y325" s="21" t="s">
        <v>343</v>
      </c>
      <c r="Z325" s="21" t="s">
        <v>343</v>
      </c>
      <c r="AA325" s="10" t="s">
        <v>52</v>
      </c>
      <c r="AB325" s="10" t="s">
        <v>397</v>
      </c>
      <c r="AC325" s="10" t="s">
        <v>403</v>
      </c>
      <c r="AD325" s="10" t="s">
        <v>397</v>
      </c>
      <c r="AE325" s="10" t="s">
        <v>516</v>
      </c>
      <c r="AF325" s="10" t="s">
        <v>517</v>
      </c>
      <c r="AG325" s="4" t="s">
        <v>398</v>
      </c>
    </row>
    <row r="326" ht="28.5" spans="1:33">
      <c r="A326" s="33" t="s">
        <v>393</v>
      </c>
      <c r="B326" s="4" t="s">
        <v>540</v>
      </c>
      <c r="C326" s="4">
        <v>43</v>
      </c>
      <c r="D326" s="4" t="s">
        <v>48</v>
      </c>
      <c r="F326" s="4" t="s">
        <v>400</v>
      </c>
      <c r="G326" s="19">
        <v>45134</v>
      </c>
      <c r="H326" s="19">
        <v>44965.483287037</v>
      </c>
      <c r="I326" s="19">
        <v>45239</v>
      </c>
      <c r="J326" s="34">
        <f t="shared" si="17"/>
        <v>274.516712962999</v>
      </c>
      <c r="O326" s="21" t="s">
        <v>50</v>
      </c>
      <c r="P326" s="35"/>
      <c r="Q326" s="36"/>
      <c r="R326" s="37"/>
      <c r="S326" s="4"/>
      <c r="T326" s="33"/>
      <c r="U326" s="33"/>
      <c r="V326" s="4"/>
      <c r="W326" s="21" t="s">
        <v>51</v>
      </c>
      <c r="X326" s="21" t="s">
        <v>529</v>
      </c>
      <c r="Y326" s="21" t="s">
        <v>541</v>
      </c>
      <c r="Z326" s="21" t="s">
        <v>343</v>
      </c>
      <c r="AA326" s="10" t="s">
        <v>52</v>
      </c>
      <c r="AB326" s="10" t="s">
        <v>397</v>
      </c>
      <c r="AC326" s="10" t="s">
        <v>52</v>
      </c>
      <c r="AD326" s="10" t="s">
        <v>397</v>
      </c>
      <c r="AE326" s="10" t="s">
        <v>516</v>
      </c>
      <c r="AF326" s="10" t="s">
        <v>517</v>
      </c>
      <c r="AG326" s="4" t="s">
        <v>398</v>
      </c>
    </row>
    <row r="327" ht="30" spans="1:33">
      <c r="A327" s="33" t="s">
        <v>393</v>
      </c>
      <c r="B327" s="4" t="s">
        <v>542</v>
      </c>
      <c r="C327" s="4">
        <v>34</v>
      </c>
      <c r="D327" s="4" t="s">
        <v>54</v>
      </c>
      <c r="F327" s="4" t="s">
        <v>405</v>
      </c>
      <c r="G327" s="19">
        <v>45120</v>
      </c>
      <c r="H327" s="19">
        <v>44943.5928935185</v>
      </c>
      <c r="I327" s="19">
        <v>45124</v>
      </c>
      <c r="J327" s="34">
        <f t="shared" si="17"/>
        <v>181.4071064815</v>
      </c>
      <c r="O327" s="21" t="s">
        <v>51</v>
      </c>
      <c r="P327" s="35"/>
      <c r="Q327" s="36"/>
      <c r="R327" s="37"/>
      <c r="S327" s="4"/>
      <c r="T327" s="33"/>
      <c r="U327" s="33"/>
      <c r="V327" s="4"/>
      <c r="W327" s="21" t="s">
        <v>543</v>
      </c>
      <c r="X327" s="21" t="s">
        <v>51</v>
      </c>
      <c r="Y327" s="21" t="s">
        <v>343</v>
      </c>
      <c r="Z327" s="21" t="s">
        <v>343</v>
      </c>
      <c r="AA327" s="10" t="s">
        <v>52</v>
      </c>
      <c r="AB327" s="10" t="s">
        <v>397</v>
      </c>
      <c r="AC327" s="10" t="s">
        <v>403</v>
      </c>
      <c r="AD327" s="10" t="s">
        <v>397</v>
      </c>
      <c r="AE327" s="10" t="s">
        <v>516</v>
      </c>
      <c r="AF327" s="10" t="s">
        <v>517</v>
      </c>
      <c r="AG327" s="4" t="s">
        <v>398</v>
      </c>
    </row>
    <row r="328" ht="30" spans="1:33">
      <c r="A328" s="33" t="s">
        <v>393</v>
      </c>
      <c r="B328" s="4" t="s">
        <v>544</v>
      </c>
      <c r="C328" s="4">
        <v>38</v>
      </c>
      <c r="D328" s="4" t="s">
        <v>48</v>
      </c>
      <c r="F328" s="4" t="s">
        <v>405</v>
      </c>
      <c r="G328" s="19">
        <v>45019</v>
      </c>
      <c r="H328" s="19">
        <v>44859.7124074074</v>
      </c>
      <c r="I328" s="19">
        <v>45083</v>
      </c>
      <c r="J328" s="34">
        <f t="shared" si="17"/>
        <v>224.287592592598</v>
      </c>
      <c r="O328" s="21" t="s">
        <v>51</v>
      </c>
      <c r="P328" s="35"/>
      <c r="Q328" s="36"/>
      <c r="R328" s="37"/>
      <c r="S328" s="4"/>
      <c r="T328" s="33"/>
      <c r="U328" s="33"/>
      <c r="V328" s="4"/>
      <c r="W328" s="21" t="s">
        <v>545</v>
      </c>
      <c r="X328" s="21" t="s">
        <v>51</v>
      </c>
      <c r="Y328" s="21" t="s">
        <v>343</v>
      </c>
      <c r="Z328" s="21" t="s">
        <v>343</v>
      </c>
      <c r="AA328" s="10" t="s">
        <v>52</v>
      </c>
      <c r="AB328" s="10" t="s">
        <v>397</v>
      </c>
      <c r="AC328" s="10" t="s">
        <v>403</v>
      </c>
      <c r="AD328" s="10" t="s">
        <v>397</v>
      </c>
      <c r="AE328" s="10" t="s">
        <v>516</v>
      </c>
      <c r="AF328" s="10" t="s">
        <v>517</v>
      </c>
      <c r="AG328" s="4" t="s">
        <v>398</v>
      </c>
    </row>
    <row r="329" ht="30" spans="1:33">
      <c r="A329" s="33" t="s">
        <v>393</v>
      </c>
      <c r="B329" s="4" t="s">
        <v>546</v>
      </c>
      <c r="C329" s="4">
        <v>33</v>
      </c>
      <c r="D329" s="4" t="s">
        <v>48</v>
      </c>
      <c r="F329" s="4" t="s">
        <v>400</v>
      </c>
      <c r="G329" s="19">
        <v>44898</v>
      </c>
      <c r="H329" s="19">
        <v>44701.4589467593</v>
      </c>
      <c r="I329" s="19">
        <v>44977</v>
      </c>
      <c r="J329" s="34">
        <f t="shared" si="17"/>
        <v>276.541053240697</v>
      </c>
      <c r="O329" s="21" t="s">
        <v>51</v>
      </c>
      <c r="P329" s="35"/>
      <c r="Q329" s="36"/>
      <c r="R329" s="37"/>
      <c r="S329" s="4"/>
      <c r="T329" s="33"/>
      <c r="U329" s="33"/>
      <c r="V329" s="4"/>
      <c r="W329" s="21" t="s">
        <v>343</v>
      </c>
      <c r="X329" s="4" t="s">
        <v>547</v>
      </c>
      <c r="Y329" s="4" t="s">
        <v>548</v>
      </c>
      <c r="Z329" s="4" t="s">
        <v>343</v>
      </c>
      <c r="AA329" s="10" t="s">
        <v>52</v>
      </c>
      <c r="AB329" s="10" t="s">
        <v>397</v>
      </c>
      <c r="AC329" s="10" t="s">
        <v>52</v>
      </c>
      <c r="AD329" s="10" t="s">
        <v>397</v>
      </c>
      <c r="AE329" s="10" t="s">
        <v>516</v>
      </c>
      <c r="AF329" s="10" t="s">
        <v>517</v>
      </c>
      <c r="AG329" s="4" t="s">
        <v>398</v>
      </c>
    </row>
    <row r="330" ht="28.5" spans="1:33">
      <c r="A330" s="33" t="s">
        <v>393</v>
      </c>
      <c r="B330" s="4" t="s">
        <v>549</v>
      </c>
      <c r="C330" s="4">
        <v>53</v>
      </c>
      <c r="D330" s="4" t="s">
        <v>54</v>
      </c>
      <c r="F330" s="4" t="s">
        <v>49</v>
      </c>
      <c r="G330" s="19" t="s">
        <v>57</v>
      </c>
      <c r="H330" s="19">
        <v>45869.4781828704</v>
      </c>
      <c r="I330" s="19">
        <v>46083</v>
      </c>
      <c r="J330" s="34">
        <f t="shared" si="17"/>
        <v>214.5218171296</v>
      </c>
      <c r="O330" s="21" t="s">
        <v>50</v>
      </c>
      <c r="P330" s="35"/>
      <c r="Q330" s="36"/>
      <c r="R330" s="37"/>
      <c r="S330" s="4"/>
      <c r="T330" s="33"/>
      <c r="U330" s="33"/>
      <c r="V330" s="4"/>
      <c r="W330" s="21" t="s">
        <v>51</v>
      </c>
      <c r="X330" s="4" t="s">
        <v>550</v>
      </c>
      <c r="Y330" s="4" t="s">
        <v>551</v>
      </c>
      <c r="Z330" s="4" t="s">
        <v>551</v>
      </c>
      <c r="AA330" s="10" t="s">
        <v>52</v>
      </c>
      <c r="AB330" s="10" t="s">
        <v>397</v>
      </c>
      <c r="AC330" s="10" t="s">
        <v>52</v>
      </c>
      <c r="AD330" s="10" t="s">
        <v>397</v>
      </c>
      <c r="AG330" s="4" t="s">
        <v>552</v>
      </c>
    </row>
    <row r="331" spans="1:33">
      <c r="A331" s="33" t="s">
        <v>393</v>
      </c>
      <c r="B331" s="4" t="s">
        <v>553</v>
      </c>
      <c r="C331" s="4">
        <v>50</v>
      </c>
      <c r="D331" s="4" t="s">
        <v>54</v>
      </c>
      <c r="F331" s="4" t="s">
        <v>56</v>
      </c>
      <c r="G331" s="19" t="s">
        <v>411</v>
      </c>
      <c r="H331" s="19">
        <v>45776.4247800926</v>
      </c>
      <c r="I331" s="19">
        <v>45995</v>
      </c>
      <c r="J331" s="34">
        <f t="shared" si="17"/>
        <v>219.575219907398</v>
      </c>
      <c r="O331" s="21" t="s">
        <v>51</v>
      </c>
      <c r="P331" s="21"/>
      <c r="Q331" s="36"/>
      <c r="R331" s="37"/>
      <c r="S331" s="4"/>
      <c r="T331" s="33"/>
      <c r="U331" s="33"/>
      <c r="V331" s="4"/>
      <c r="W331" s="21" t="s">
        <v>51</v>
      </c>
      <c r="X331" s="21" t="s">
        <v>51</v>
      </c>
      <c r="Y331" s="4" t="s">
        <v>551</v>
      </c>
      <c r="Z331" s="4" t="s">
        <v>551</v>
      </c>
      <c r="AA331" s="10" t="s">
        <v>52</v>
      </c>
      <c r="AB331" s="10" t="s">
        <v>397</v>
      </c>
      <c r="AG331" s="4" t="s">
        <v>398</v>
      </c>
    </row>
    <row r="332" spans="1:33">
      <c r="A332" s="33" t="s">
        <v>393</v>
      </c>
      <c r="B332" s="4" t="s">
        <v>554</v>
      </c>
      <c r="C332" s="4">
        <v>19</v>
      </c>
      <c r="D332" s="4" t="s">
        <v>54</v>
      </c>
      <c r="F332" s="4" t="s">
        <v>49</v>
      </c>
      <c r="G332" s="19">
        <v>45703</v>
      </c>
      <c r="H332" s="19">
        <v>45532.6928587963</v>
      </c>
      <c r="I332" s="19">
        <v>45797</v>
      </c>
      <c r="J332" s="34">
        <f t="shared" si="17"/>
        <v>265.307141203702</v>
      </c>
      <c r="O332" s="21" t="s">
        <v>51</v>
      </c>
      <c r="P332" s="35"/>
      <c r="Q332" s="36"/>
      <c r="R332" s="37"/>
      <c r="S332" s="4"/>
      <c r="T332" s="33"/>
      <c r="U332" s="33"/>
      <c r="V332" s="4"/>
      <c r="W332" s="21" t="s">
        <v>51</v>
      </c>
      <c r="X332" s="21" t="s">
        <v>51</v>
      </c>
      <c r="Y332" s="21" t="s">
        <v>475</v>
      </c>
      <c r="Z332" s="21" t="s">
        <v>551</v>
      </c>
      <c r="AA332" s="10" t="s">
        <v>52</v>
      </c>
      <c r="AB332" s="10" t="s">
        <v>397</v>
      </c>
      <c r="AC332" s="10" t="s">
        <v>52</v>
      </c>
      <c r="AD332" s="10" t="s">
        <v>397</v>
      </c>
      <c r="AG332" s="4" t="s">
        <v>398</v>
      </c>
    </row>
    <row r="333" spans="1:33">
      <c r="A333" s="33" t="s">
        <v>393</v>
      </c>
      <c r="B333" s="4" t="s">
        <v>555</v>
      </c>
      <c r="C333" s="4">
        <v>25</v>
      </c>
      <c r="D333" s="4" t="s">
        <v>48</v>
      </c>
      <c r="F333" s="4" t="s">
        <v>49</v>
      </c>
      <c r="G333" s="19">
        <v>45643</v>
      </c>
      <c r="H333" s="19">
        <v>45474.7265162037</v>
      </c>
      <c r="I333" s="19">
        <v>45745</v>
      </c>
      <c r="J333" s="34">
        <f t="shared" si="17"/>
        <v>271.2734837963</v>
      </c>
      <c r="O333" s="21" t="s">
        <v>50</v>
      </c>
      <c r="P333" s="35"/>
      <c r="Q333" s="36"/>
      <c r="R333" s="37"/>
      <c r="S333" s="4"/>
      <c r="T333" s="33"/>
      <c r="U333" s="33"/>
      <c r="V333" s="4"/>
      <c r="W333" s="21" t="s">
        <v>343</v>
      </c>
      <c r="X333" s="21" t="s">
        <v>51</v>
      </c>
      <c r="Y333" s="21" t="s">
        <v>51</v>
      </c>
      <c r="Z333" s="21" t="s">
        <v>551</v>
      </c>
      <c r="AA333" s="10" t="s">
        <v>52</v>
      </c>
      <c r="AB333" s="10" t="s">
        <v>397</v>
      </c>
      <c r="AC333" s="10" t="s">
        <v>403</v>
      </c>
      <c r="AD333" s="10" t="s">
        <v>397</v>
      </c>
      <c r="AG333" s="4" t="s">
        <v>398</v>
      </c>
    </row>
    <row r="334" spans="1:33">
      <c r="A334" s="33" t="s">
        <v>393</v>
      </c>
      <c r="B334" s="4" t="s">
        <v>556</v>
      </c>
      <c r="C334" s="4">
        <v>25</v>
      </c>
      <c r="D334" s="4" t="s">
        <v>54</v>
      </c>
      <c r="F334" s="4" t="s">
        <v>56</v>
      </c>
      <c r="G334" s="19" t="s">
        <v>411</v>
      </c>
      <c r="H334" s="19">
        <v>45357.5455208333</v>
      </c>
      <c r="I334" s="19">
        <v>45962</v>
      </c>
      <c r="J334" s="34">
        <f t="shared" si="17"/>
        <v>605.454479166699</v>
      </c>
      <c r="O334" s="21" t="s">
        <v>51</v>
      </c>
      <c r="P334" s="35"/>
      <c r="Q334" s="36"/>
      <c r="R334" s="37"/>
      <c r="S334" s="4"/>
      <c r="T334" s="33"/>
      <c r="U334" s="33"/>
      <c r="V334" s="4"/>
      <c r="W334" s="21" t="s">
        <v>51</v>
      </c>
      <c r="X334" s="21" t="s">
        <v>51</v>
      </c>
      <c r="Y334" s="21" t="s">
        <v>551</v>
      </c>
      <c r="Z334" s="21" t="s">
        <v>551</v>
      </c>
      <c r="AA334" s="10" t="s">
        <v>52</v>
      </c>
      <c r="AB334" s="10" t="s">
        <v>397</v>
      </c>
      <c r="AG334" s="4" t="s">
        <v>398</v>
      </c>
    </row>
    <row r="335" spans="1:33">
      <c r="A335" s="33" t="s">
        <v>393</v>
      </c>
      <c r="B335" s="4" t="s">
        <v>557</v>
      </c>
      <c r="C335" s="4">
        <v>52</v>
      </c>
      <c r="D335" s="4" t="s">
        <v>48</v>
      </c>
      <c r="F335" s="4" t="s">
        <v>49</v>
      </c>
      <c r="G335" s="19" t="s">
        <v>57</v>
      </c>
      <c r="H335" s="19">
        <v>45300.3592939815</v>
      </c>
      <c r="I335" s="19">
        <v>45945</v>
      </c>
      <c r="J335" s="34">
        <f t="shared" si="17"/>
        <v>645.640706018501</v>
      </c>
      <c r="O335" s="4" t="s">
        <v>50</v>
      </c>
      <c r="P335" s="35"/>
      <c r="Q335" s="36"/>
      <c r="R335" s="37"/>
      <c r="S335" s="4"/>
      <c r="T335" s="33"/>
      <c r="U335" s="33"/>
      <c r="V335" s="4"/>
      <c r="W335" s="4" t="s">
        <v>51</v>
      </c>
      <c r="X335" s="4" t="s">
        <v>51</v>
      </c>
      <c r="Y335" s="4" t="s">
        <v>551</v>
      </c>
      <c r="Z335" s="4" t="s">
        <v>551</v>
      </c>
      <c r="AA335" s="10" t="s">
        <v>52</v>
      </c>
      <c r="AB335" s="10" t="s">
        <v>397</v>
      </c>
      <c r="AG335" s="4" t="s">
        <v>398</v>
      </c>
    </row>
    <row r="336" spans="1:33">
      <c r="A336" s="33" t="s">
        <v>393</v>
      </c>
      <c r="B336" s="4" t="s">
        <v>558</v>
      </c>
      <c r="C336" s="4">
        <v>22</v>
      </c>
      <c r="D336" s="4" t="s">
        <v>48</v>
      </c>
      <c r="F336" s="4" t="s">
        <v>400</v>
      </c>
      <c r="G336" s="19">
        <v>45476</v>
      </c>
      <c r="H336" s="19">
        <v>45299.4080208333</v>
      </c>
      <c r="I336" s="19">
        <v>45549</v>
      </c>
      <c r="J336" s="34">
        <f t="shared" si="17"/>
        <v>250.591979166697</v>
      </c>
      <c r="O336" s="21" t="s">
        <v>50</v>
      </c>
      <c r="P336" s="35"/>
      <c r="Q336" s="36"/>
      <c r="R336" s="37"/>
      <c r="S336" s="4"/>
      <c r="T336" s="33"/>
      <c r="U336" s="33"/>
      <c r="V336" s="4"/>
      <c r="W336" s="21" t="s">
        <v>51</v>
      </c>
      <c r="X336" s="21" t="s">
        <v>51</v>
      </c>
      <c r="Y336" s="21" t="s">
        <v>559</v>
      </c>
      <c r="Z336" s="21" t="s">
        <v>551</v>
      </c>
      <c r="AA336" s="10" t="s">
        <v>52</v>
      </c>
      <c r="AB336" s="10" t="s">
        <v>397</v>
      </c>
      <c r="AC336" s="10" t="s">
        <v>52</v>
      </c>
      <c r="AD336" s="10" t="s">
        <v>397</v>
      </c>
      <c r="AG336" s="4" t="s">
        <v>398</v>
      </c>
    </row>
    <row r="337" spans="1:33">
      <c r="A337" s="33" t="s">
        <v>393</v>
      </c>
      <c r="B337" s="4" t="s">
        <v>560</v>
      </c>
      <c r="C337" s="4">
        <v>33</v>
      </c>
      <c r="D337" s="4" t="s">
        <v>48</v>
      </c>
      <c r="F337" s="4" t="s">
        <v>400</v>
      </c>
      <c r="G337" s="19">
        <v>45299</v>
      </c>
      <c r="H337" s="19">
        <v>45145.4012152778</v>
      </c>
      <c r="I337" s="19">
        <v>45421</v>
      </c>
      <c r="J337" s="34">
        <f t="shared" si="17"/>
        <v>276.598784722199</v>
      </c>
      <c r="O337" s="21" t="s">
        <v>50</v>
      </c>
      <c r="P337" s="21"/>
      <c r="Q337" s="36"/>
      <c r="R337" s="37"/>
      <c r="S337" s="4"/>
      <c r="T337" s="33"/>
      <c r="U337" s="33"/>
      <c r="V337" s="4"/>
      <c r="W337" s="21" t="s">
        <v>51</v>
      </c>
      <c r="X337" s="21" t="s">
        <v>51</v>
      </c>
      <c r="Y337" s="21" t="s">
        <v>475</v>
      </c>
      <c r="Z337" s="21" t="s">
        <v>551</v>
      </c>
      <c r="AA337" s="10" t="s">
        <v>52</v>
      </c>
      <c r="AB337" s="10" t="s">
        <v>397</v>
      </c>
      <c r="AC337" s="10" t="s">
        <v>52</v>
      </c>
      <c r="AD337" s="10" t="s">
        <v>397</v>
      </c>
      <c r="AG337" s="4" t="s">
        <v>398</v>
      </c>
    </row>
    <row r="338" spans="1:33">
      <c r="A338" s="33" t="s">
        <v>393</v>
      </c>
      <c r="B338" s="4" t="s">
        <v>561</v>
      </c>
      <c r="C338" s="4">
        <v>35</v>
      </c>
      <c r="D338" s="4" t="s">
        <v>54</v>
      </c>
      <c r="F338" s="4" t="s">
        <v>56</v>
      </c>
      <c r="G338" s="19" t="s">
        <v>411</v>
      </c>
      <c r="H338" s="19">
        <v>45222.4132407407</v>
      </c>
      <c r="I338" s="19">
        <v>45824</v>
      </c>
      <c r="J338" s="34">
        <f t="shared" si="17"/>
        <v>602.586759259299</v>
      </c>
      <c r="O338" s="21" t="s">
        <v>50</v>
      </c>
      <c r="P338" s="35"/>
      <c r="Q338" s="36"/>
      <c r="R338" s="37"/>
      <c r="S338" s="4"/>
      <c r="T338" s="33"/>
      <c r="U338" s="33"/>
      <c r="V338" s="4"/>
      <c r="W338" s="21" t="s">
        <v>51</v>
      </c>
      <c r="X338" s="4" t="s">
        <v>51</v>
      </c>
      <c r="Y338" s="4" t="s">
        <v>409</v>
      </c>
      <c r="Z338" s="4" t="s">
        <v>551</v>
      </c>
      <c r="AA338" s="10" t="s">
        <v>52</v>
      </c>
      <c r="AB338" s="10" t="s">
        <v>397</v>
      </c>
      <c r="AC338" s="10" t="s">
        <v>52</v>
      </c>
      <c r="AD338" s="10" t="s">
        <v>397</v>
      </c>
      <c r="AG338" s="4" t="s">
        <v>398</v>
      </c>
    </row>
    <row r="339" spans="1:33">
      <c r="A339" s="33" t="s">
        <v>393</v>
      </c>
      <c r="B339" s="4" t="s">
        <v>562</v>
      </c>
      <c r="C339" s="4">
        <v>37</v>
      </c>
      <c r="D339" s="4" t="s">
        <v>48</v>
      </c>
      <c r="F339" s="4" t="s">
        <v>56</v>
      </c>
      <c r="G339" s="19" t="s">
        <v>411</v>
      </c>
      <c r="H339" s="19">
        <v>45069.6851388889</v>
      </c>
      <c r="I339" s="19">
        <v>45743</v>
      </c>
      <c r="J339" s="34">
        <f t="shared" si="17"/>
        <v>674.314861111103</v>
      </c>
      <c r="O339" s="21" t="s">
        <v>51</v>
      </c>
      <c r="P339" s="35"/>
      <c r="Q339" s="36"/>
      <c r="R339" s="37"/>
      <c r="S339" s="4"/>
      <c r="T339" s="33"/>
      <c r="U339" s="33"/>
      <c r="V339" s="4"/>
      <c r="W339" s="21" t="s">
        <v>51</v>
      </c>
      <c r="X339" s="21" t="s">
        <v>51</v>
      </c>
      <c r="Y339" s="21" t="s">
        <v>563</v>
      </c>
      <c r="Z339" s="21" t="s">
        <v>564</v>
      </c>
      <c r="AA339" s="10" t="s">
        <v>52</v>
      </c>
      <c r="AB339" s="10" t="s">
        <v>397</v>
      </c>
      <c r="AC339" s="10" t="s">
        <v>52</v>
      </c>
      <c r="AD339" s="10" t="s">
        <v>397</v>
      </c>
      <c r="AG339" s="4" t="s">
        <v>398</v>
      </c>
    </row>
    <row r="340" spans="1:33">
      <c r="A340" s="33" t="s">
        <v>393</v>
      </c>
      <c r="B340" s="4" t="s">
        <v>565</v>
      </c>
      <c r="C340" s="4">
        <v>24</v>
      </c>
      <c r="D340" s="4" t="s">
        <v>54</v>
      </c>
      <c r="F340" s="4" t="s">
        <v>49</v>
      </c>
      <c r="G340" s="19" t="s">
        <v>57</v>
      </c>
      <c r="H340" s="19">
        <v>44880.7198611111</v>
      </c>
      <c r="I340" s="19">
        <v>45759</v>
      </c>
      <c r="J340" s="34">
        <f t="shared" si="17"/>
        <v>879.280138888898</v>
      </c>
      <c r="O340" s="21" t="s">
        <v>51</v>
      </c>
      <c r="P340" s="35"/>
      <c r="Q340" s="36"/>
      <c r="R340" s="37"/>
      <c r="S340" s="4"/>
      <c r="T340" s="33"/>
      <c r="U340" s="33"/>
      <c r="V340" s="4"/>
      <c r="W340" s="21" t="s">
        <v>51</v>
      </c>
      <c r="X340" s="21" t="s">
        <v>51</v>
      </c>
      <c r="Y340" s="21" t="s">
        <v>566</v>
      </c>
      <c r="Z340" s="21" t="s">
        <v>564</v>
      </c>
      <c r="AA340" s="10" t="s">
        <v>52</v>
      </c>
      <c r="AB340" s="10" t="s">
        <v>397</v>
      </c>
      <c r="AC340" s="10" t="s">
        <v>52</v>
      </c>
      <c r="AD340" s="10" t="s">
        <v>397</v>
      </c>
      <c r="AG340" s="4" t="s">
        <v>398</v>
      </c>
    </row>
    <row r="341" spans="1:33">
      <c r="A341" s="33" t="s">
        <v>567</v>
      </c>
      <c r="B341" s="4" t="s">
        <v>568</v>
      </c>
      <c r="C341" s="4" t="s">
        <v>569</v>
      </c>
      <c r="D341" s="4" t="s">
        <v>48</v>
      </c>
      <c r="F341" s="4" t="s">
        <v>49</v>
      </c>
      <c r="G341" s="19">
        <v>44963</v>
      </c>
      <c r="H341" s="19">
        <v>44789</v>
      </c>
      <c r="I341" s="19">
        <v>45063</v>
      </c>
      <c r="J341" s="34">
        <f t="shared" ref="J341:J372" si="18">IF(AND(H341&lt;&gt;"",I341&lt;&gt;""),I341-H341+1,"")</f>
        <v>275</v>
      </c>
      <c r="O341" s="4" t="s">
        <v>50</v>
      </c>
      <c r="P341" s="4"/>
      <c r="Q341" s="4"/>
      <c r="R341" s="4"/>
      <c r="S341" s="4"/>
      <c r="T341" s="4"/>
      <c r="U341" s="4"/>
      <c r="V341" s="4"/>
      <c r="W341" s="4" t="s">
        <v>51</v>
      </c>
      <c r="X341" s="4" t="s">
        <v>51</v>
      </c>
      <c r="Y341" s="4" t="s">
        <v>343</v>
      </c>
      <c r="Z341" s="4" t="s">
        <v>343</v>
      </c>
      <c r="AA341" s="10" t="s">
        <v>52</v>
      </c>
      <c r="AC341" s="10" t="s">
        <v>52</v>
      </c>
      <c r="AE341" s="10" t="s">
        <v>52</v>
      </c>
      <c r="AG341" s="4"/>
    </row>
    <row r="342" spans="1:33">
      <c r="A342" s="33" t="s">
        <v>567</v>
      </c>
      <c r="B342" s="4" t="s">
        <v>570</v>
      </c>
      <c r="C342" s="4" t="s">
        <v>571</v>
      </c>
      <c r="D342" s="4" t="s">
        <v>48</v>
      </c>
      <c r="F342" s="4" t="s">
        <v>56</v>
      </c>
      <c r="G342" s="19"/>
      <c r="H342" s="19">
        <v>44791</v>
      </c>
      <c r="I342" s="19">
        <v>44829</v>
      </c>
      <c r="J342" s="34">
        <f t="shared" si="18"/>
        <v>39</v>
      </c>
      <c r="O342" s="4" t="s">
        <v>50</v>
      </c>
      <c r="P342" s="35"/>
      <c r="Q342" s="36"/>
      <c r="R342" s="37"/>
      <c r="S342" s="4"/>
      <c r="T342" s="33"/>
      <c r="U342" s="33"/>
      <c r="V342" s="4"/>
      <c r="W342" s="4" t="s">
        <v>343</v>
      </c>
      <c r="X342" s="4" t="s">
        <v>343</v>
      </c>
      <c r="Y342" s="4" t="s">
        <v>343</v>
      </c>
      <c r="Z342" s="4" t="s">
        <v>343</v>
      </c>
      <c r="AA342" s="10" t="s">
        <v>108</v>
      </c>
      <c r="AB342" s="10" t="s">
        <v>177</v>
      </c>
      <c r="AG342" s="4"/>
    </row>
    <row r="343" spans="1:33">
      <c r="A343" s="33" t="s">
        <v>567</v>
      </c>
      <c r="B343" s="4" t="s">
        <v>572</v>
      </c>
      <c r="C343" s="4" t="s">
        <v>573</v>
      </c>
      <c r="D343" s="4" t="s">
        <v>48</v>
      </c>
      <c r="F343" s="4" t="s">
        <v>64</v>
      </c>
      <c r="G343" s="19"/>
      <c r="H343" s="19">
        <v>44803</v>
      </c>
      <c r="I343" s="19">
        <v>45362</v>
      </c>
      <c r="J343" s="34">
        <f t="shared" si="18"/>
        <v>560</v>
      </c>
      <c r="O343" s="4" t="s">
        <v>50</v>
      </c>
      <c r="P343" s="35"/>
      <c r="Q343" s="36"/>
      <c r="R343" s="37"/>
      <c r="S343" s="4"/>
      <c r="T343" s="33"/>
      <c r="U343" s="33"/>
      <c r="V343" s="4"/>
      <c r="W343" s="4" t="s">
        <v>51</v>
      </c>
      <c r="X343" s="4" t="s">
        <v>343</v>
      </c>
      <c r="Y343" s="4" t="s">
        <v>343</v>
      </c>
      <c r="Z343" s="4" t="s">
        <v>343</v>
      </c>
      <c r="AA343" s="10" t="s">
        <v>52</v>
      </c>
      <c r="AC343" s="10" t="s">
        <v>52</v>
      </c>
      <c r="AE343" s="10" t="s">
        <v>52</v>
      </c>
      <c r="AG343" s="4"/>
    </row>
    <row r="344" spans="1:33">
      <c r="A344" s="33" t="s">
        <v>567</v>
      </c>
      <c r="B344" s="4" t="s">
        <v>574</v>
      </c>
      <c r="C344" s="4" t="s">
        <v>575</v>
      </c>
      <c r="D344" s="4" t="s">
        <v>48</v>
      </c>
      <c r="F344" s="4" t="s">
        <v>64</v>
      </c>
      <c r="G344" s="19"/>
      <c r="H344" s="19">
        <v>44811</v>
      </c>
      <c r="I344" s="19">
        <v>45587</v>
      </c>
      <c r="J344" s="34">
        <f t="shared" si="18"/>
        <v>777</v>
      </c>
      <c r="O344" s="4" t="s">
        <v>50</v>
      </c>
      <c r="P344" s="35"/>
      <c r="Q344" s="36"/>
      <c r="R344" s="37"/>
      <c r="S344" s="4"/>
      <c r="T344" s="33"/>
      <c r="U344" s="33"/>
      <c r="V344" s="4"/>
      <c r="W344" s="4" t="s">
        <v>51</v>
      </c>
      <c r="X344" s="4" t="s">
        <v>51</v>
      </c>
      <c r="Y344" s="4" t="s">
        <v>343</v>
      </c>
      <c r="Z344" s="4" t="s">
        <v>343</v>
      </c>
      <c r="AA344" s="10" t="s">
        <v>52</v>
      </c>
      <c r="AC344" s="10" t="s">
        <v>52</v>
      </c>
      <c r="AE344" s="10" t="s">
        <v>52</v>
      </c>
      <c r="AG344" s="4"/>
    </row>
    <row r="345" spans="1:33">
      <c r="A345" s="33" t="s">
        <v>567</v>
      </c>
      <c r="B345" s="4" t="s">
        <v>576</v>
      </c>
      <c r="C345" s="4" t="s">
        <v>577</v>
      </c>
      <c r="D345" s="4" t="s">
        <v>48</v>
      </c>
      <c r="F345" s="4" t="s">
        <v>49</v>
      </c>
      <c r="G345" s="19"/>
      <c r="H345" s="19">
        <v>44811</v>
      </c>
      <c r="I345" s="19">
        <v>45344</v>
      </c>
      <c r="J345" s="34">
        <f t="shared" si="18"/>
        <v>534</v>
      </c>
      <c r="O345" s="4" t="s">
        <v>50</v>
      </c>
      <c r="P345" s="35"/>
      <c r="Q345" s="36"/>
      <c r="R345" s="37"/>
      <c r="S345" s="4"/>
      <c r="T345" s="33"/>
      <c r="U345" s="33"/>
      <c r="V345" s="4"/>
      <c r="W345" s="4" t="s">
        <v>51</v>
      </c>
      <c r="X345" s="4" t="s">
        <v>51</v>
      </c>
      <c r="Y345" s="4" t="s">
        <v>51</v>
      </c>
      <c r="Z345" s="4" t="s">
        <v>343</v>
      </c>
      <c r="AA345" s="10" t="s">
        <v>52</v>
      </c>
      <c r="AC345" s="10" t="s">
        <v>52</v>
      </c>
      <c r="AE345" s="10" t="s">
        <v>52</v>
      </c>
      <c r="AG345" s="4"/>
    </row>
    <row r="346" spans="1:33">
      <c r="A346" s="33" t="s">
        <v>567</v>
      </c>
      <c r="B346" s="4" t="s">
        <v>578</v>
      </c>
      <c r="C346" s="4" t="s">
        <v>579</v>
      </c>
      <c r="D346" s="4" t="s">
        <v>54</v>
      </c>
      <c r="F346" s="4" t="s">
        <v>49</v>
      </c>
      <c r="G346" s="19">
        <v>45194</v>
      </c>
      <c r="H346" s="19">
        <v>44813</v>
      </c>
      <c r="I346" s="19">
        <v>45072</v>
      </c>
      <c r="J346" s="34">
        <f t="shared" si="18"/>
        <v>260</v>
      </c>
      <c r="O346" s="4" t="s">
        <v>50</v>
      </c>
      <c r="P346" s="4"/>
      <c r="Q346" s="4"/>
      <c r="R346" s="4"/>
      <c r="S346" s="4"/>
      <c r="T346" s="4"/>
      <c r="U346" s="4"/>
      <c r="V346" s="4"/>
      <c r="W346" s="4" t="s">
        <v>51</v>
      </c>
      <c r="X346" s="4" t="s">
        <v>51</v>
      </c>
      <c r="Y346" s="4" t="s">
        <v>343</v>
      </c>
      <c r="Z346" s="4" t="s">
        <v>343</v>
      </c>
      <c r="AA346" s="10" t="s">
        <v>52</v>
      </c>
      <c r="AC346" s="10" t="s">
        <v>52</v>
      </c>
      <c r="AE346" s="10" t="s">
        <v>52</v>
      </c>
      <c r="AG346" s="4"/>
    </row>
    <row r="347" spans="1:33">
      <c r="A347" s="33" t="s">
        <v>567</v>
      </c>
      <c r="B347" s="4" t="s">
        <v>580</v>
      </c>
      <c r="C347" s="4" t="s">
        <v>581</v>
      </c>
      <c r="D347" s="4" t="s">
        <v>54</v>
      </c>
      <c r="F347" s="4" t="s">
        <v>49</v>
      </c>
      <c r="G347" s="19"/>
      <c r="H347" s="19">
        <v>44827</v>
      </c>
      <c r="I347" s="19">
        <v>44847</v>
      </c>
      <c r="J347" s="34">
        <f t="shared" si="18"/>
        <v>21</v>
      </c>
      <c r="O347" s="4" t="s">
        <v>50</v>
      </c>
      <c r="P347" s="35"/>
      <c r="Q347" s="36"/>
      <c r="R347" s="37"/>
      <c r="S347" s="4"/>
      <c r="T347" s="33"/>
      <c r="U347" s="33"/>
      <c r="V347" s="4"/>
      <c r="W347" s="4" t="s">
        <v>51</v>
      </c>
      <c r="X347" s="4" t="s">
        <v>343</v>
      </c>
      <c r="Y347" s="4" t="s">
        <v>343</v>
      </c>
      <c r="Z347" s="4" t="s">
        <v>343</v>
      </c>
      <c r="AA347" s="10" t="s">
        <v>108</v>
      </c>
      <c r="AB347" s="10" t="s">
        <v>582</v>
      </c>
      <c r="AG347" s="4"/>
    </row>
    <row r="348" spans="1:33">
      <c r="A348" s="33" t="s">
        <v>567</v>
      </c>
      <c r="B348" s="4" t="s">
        <v>583</v>
      </c>
      <c r="C348" s="4" t="s">
        <v>584</v>
      </c>
      <c r="D348" s="4" t="s">
        <v>48</v>
      </c>
      <c r="F348" s="4" t="s">
        <v>49</v>
      </c>
      <c r="G348" s="19">
        <v>45194</v>
      </c>
      <c r="H348" s="19">
        <v>44855</v>
      </c>
      <c r="I348" s="19">
        <v>45128</v>
      </c>
      <c r="J348" s="34">
        <f t="shared" si="18"/>
        <v>274</v>
      </c>
      <c r="O348" s="4" t="s">
        <v>50</v>
      </c>
      <c r="P348" s="35"/>
      <c r="Q348" s="36"/>
      <c r="R348" s="37"/>
      <c r="S348" s="4"/>
      <c r="T348" s="33"/>
      <c r="U348" s="33"/>
      <c r="V348" s="4"/>
      <c r="W348" s="4" t="s">
        <v>51</v>
      </c>
      <c r="X348" s="4" t="s">
        <v>51</v>
      </c>
      <c r="Y348" s="4" t="s">
        <v>343</v>
      </c>
      <c r="Z348" s="4" t="s">
        <v>343</v>
      </c>
      <c r="AA348" s="10" t="s">
        <v>52</v>
      </c>
      <c r="AC348" s="10" t="s">
        <v>52</v>
      </c>
      <c r="AE348" s="10" t="s">
        <v>52</v>
      </c>
      <c r="AG348" s="4"/>
    </row>
    <row r="349" spans="1:33">
      <c r="A349" s="33" t="s">
        <v>567</v>
      </c>
      <c r="B349" s="4" t="s">
        <v>585</v>
      </c>
      <c r="C349" s="4" t="s">
        <v>586</v>
      </c>
      <c r="D349" s="4" t="s">
        <v>54</v>
      </c>
      <c r="F349" s="4" t="s">
        <v>49</v>
      </c>
      <c r="G349" s="19">
        <v>45194</v>
      </c>
      <c r="H349" s="19">
        <v>44855</v>
      </c>
      <c r="I349" s="19">
        <v>45140</v>
      </c>
      <c r="J349" s="34">
        <f t="shared" si="18"/>
        <v>286</v>
      </c>
      <c r="O349" s="4" t="s">
        <v>50</v>
      </c>
      <c r="P349" s="35"/>
      <c r="Q349" s="36"/>
      <c r="R349" s="37"/>
      <c r="S349" s="4"/>
      <c r="T349" s="33"/>
      <c r="U349" s="33"/>
      <c r="V349" s="4"/>
      <c r="W349" s="4" t="s">
        <v>51</v>
      </c>
      <c r="X349" s="4" t="s">
        <v>51</v>
      </c>
      <c r="Y349" s="4" t="s">
        <v>343</v>
      </c>
      <c r="Z349" s="4" t="s">
        <v>343</v>
      </c>
      <c r="AA349" s="10" t="s">
        <v>52</v>
      </c>
      <c r="AC349" s="10" t="s">
        <v>52</v>
      </c>
      <c r="AE349" s="10" t="s">
        <v>52</v>
      </c>
      <c r="AG349" s="4"/>
    </row>
    <row r="350" spans="1:33">
      <c r="A350" s="33" t="s">
        <v>567</v>
      </c>
      <c r="B350" s="4" t="s">
        <v>587</v>
      </c>
      <c r="C350" s="4" t="s">
        <v>588</v>
      </c>
      <c r="D350" s="4" t="s">
        <v>54</v>
      </c>
      <c r="F350" s="4" t="s">
        <v>49</v>
      </c>
      <c r="G350" s="19"/>
      <c r="H350" s="19">
        <v>44865</v>
      </c>
      <c r="I350" s="19">
        <v>45205</v>
      </c>
      <c r="J350" s="34">
        <f t="shared" si="18"/>
        <v>341</v>
      </c>
      <c r="O350" s="4" t="s">
        <v>50</v>
      </c>
      <c r="P350" s="35"/>
      <c r="Q350" s="36"/>
      <c r="R350" s="37"/>
      <c r="S350" s="4"/>
      <c r="T350" s="33"/>
      <c r="U350" s="33"/>
      <c r="V350" s="4"/>
      <c r="W350" s="4" t="s">
        <v>51</v>
      </c>
      <c r="X350" s="4" t="s">
        <v>51</v>
      </c>
      <c r="Y350" s="4" t="s">
        <v>343</v>
      </c>
      <c r="Z350" s="4" t="s">
        <v>343</v>
      </c>
      <c r="AA350" s="10" t="s">
        <v>52</v>
      </c>
      <c r="AC350" s="10" t="s">
        <v>52</v>
      </c>
      <c r="AE350" s="10" t="s">
        <v>52</v>
      </c>
      <c r="AG350" s="4"/>
    </row>
    <row r="351" spans="1:33">
      <c r="A351" s="33" t="s">
        <v>567</v>
      </c>
      <c r="B351" s="4" t="s">
        <v>589</v>
      </c>
      <c r="C351" s="4" t="s">
        <v>590</v>
      </c>
      <c r="D351" s="4" t="s">
        <v>48</v>
      </c>
      <c r="F351" s="4" t="s">
        <v>49</v>
      </c>
      <c r="G351" s="19">
        <v>45027</v>
      </c>
      <c r="H351" s="19">
        <v>44860</v>
      </c>
      <c r="I351" s="19">
        <v>45037</v>
      </c>
      <c r="J351" s="34">
        <f t="shared" si="18"/>
        <v>178</v>
      </c>
      <c r="O351" s="4" t="s">
        <v>50</v>
      </c>
      <c r="P351" s="35"/>
      <c r="Q351" s="36"/>
      <c r="R351" s="37"/>
      <c r="S351" s="4"/>
      <c r="T351" s="33"/>
      <c r="U351" s="33"/>
      <c r="V351" s="4"/>
      <c r="W351" s="4" t="s">
        <v>51</v>
      </c>
      <c r="X351" s="4" t="s">
        <v>51</v>
      </c>
      <c r="Y351" s="4" t="s">
        <v>343</v>
      </c>
      <c r="Z351" s="4" t="s">
        <v>343</v>
      </c>
      <c r="AA351" s="10" t="s">
        <v>52</v>
      </c>
      <c r="AC351" s="10" t="s">
        <v>52</v>
      </c>
      <c r="AE351" s="10" t="s">
        <v>52</v>
      </c>
      <c r="AG351" s="4"/>
    </row>
    <row r="352" spans="1:33">
      <c r="A352" s="33" t="s">
        <v>567</v>
      </c>
      <c r="B352" s="4" t="s">
        <v>591</v>
      </c>
      <c r="C352" s="4" t="s">
        <v>592</v>
      </c>
      <c r="D352" s="4" t="s">
        <v>48</v>
      </c>
      <c r="F352" s="4" t="s">
        <v>64</v>
      </c>
      <c r="G352" s="19"/>
      <c r="H352" s="19">
        <v>44858</v>
      </c>
      <c r="I352" s="19">
        <v>45183</v>
      </c>
      <c r="J352" s="34">
        <f t="shared" si="18"/>
        <v>326</v>
      </c>
      <c r="O352" s="4" t="s">
        <v>50</v>
      </c>
      <c r="P352" s="35"/>
      <c r="Q352" s="36"/>
      <c r="R352" s="37"/>
      <c r="S352" s="4"/>
      <c r="T352" s="33"/>
      <c r="U352" s="33"/>
      <c r="V352" s="4"/>
      <c r="W352" s="4" t="s">
        <v>51</v>
      </c>
      <c r="X352" s="4" t="s">
        <v>51</v>
      </c>
      <c r="Y352" s="4" t="s">
        <v>343</v>
      </c>
      <c r="Z352" s="4" t="s">
        <v>343</v>
      </c>
      <c r="AA352" s="10" t="s">
        <v>52</v>
      </c>
      <c r="AC352" s="10" t="s">
        <v>52</v>
      </c>
      <c r="AE352" s="10" t="s">
        <v>52</v>
      </c>
      <c r="AG352" s="4"/>
    </row>
    <row r="353" spans="1:33">
      <c r="A353" s="33" t="s">
        <v>567</v>
      </c>
      <c r="B353" s="4" t="s">
        <v>593</v>
      </c>
      <c r="C353" s="4" t="s">
        <v>594</v>
      </c>
      <c r="D353" s="4" t="s">
        <v>54</v>
      </c>
      <c r="F353" s="4" t="s">
        <v>49</v>
      </c>
      <c r="G353" s="19">
        <v>45194</v>
      </c>
      <c r="H353" s="19">
        <v>44865</v>
      </c>
      <c r="I353" s="19">
        <v>45107</v>
      </c>
      <c r="J353" s="34">
        <f t="shared" si="18"/>
        <v>243</v>
      </c>
      <c r="O353" s="4" t="s">
        <v>50</v>
      </c>
      <c r="P353" s="35"/>
      <c r="Q353" s="36"/>
      <c r="R353" s="37"/>
      <c r="S353" s="4"/>
      <c r="T353" s="33"/>
      <c r="U353" s="33"/>
      <c r="V353" s="4"/>
      <c r="W353" s="4" t="s">
        <v>51</v>
      </c>
      <c r="X353" s="4" t="s">
        <v>51</v>
      </c>
      <c r="Y353" s="4" t="s">
        <v>343</v>
      </c>
      <c r="Z353" s="4" t="s">
        <v>343</v>
      </c>
      <c r="AA353" s="10" t="s">
        <v>52</v>
      </c>
      <c r="AC353" s="10" t="s">
        <v>52</v>
      </c>
      <c r="AE353" s="10" t="s">
        <v>52</v>
      </c>
      <c r="AG353" s="4"/>
    </row>
    <row r="354" spans="1:33">
      <c r="A354" s="33" t="s">
        <v>567</v>
      </c>
      <c r="B354" s="4" t="s">
        <v>595</v>
      </c>
      <c r="C354" s="4" t="s">
        <v>596</v>
      </c>
      <c r="D354" s="4" t="s">
        <v>48</v>
      </c>
      <c r="F354" s="4" t="s">
        <v>49</v>
      </c>
      <c r="G354" s="19">
        <v>45050</v>
      </c>
      <c r="H354" s="19">
        <v>44869</v>
      </c>
      <c r="I354" s="19">
        <v>45050</v>
      </c>
      <c r="J354" s="34">
        <f t="shared" si="18"/>
        <v>182</v>
      </c>
      <c r="O354" s="4" t="s">
        <v>50</v>
      </c>
      <c r="P354" s="35"/>
      <c r="Q354" s="36"/>
      <c r="R354" s="37"/>
      <c r="S354" s="4"/>
      <c r="T354" s="33"/>
      <c r="U354" s="33"/>
      <c r="V354" s="4"/>
      <c r="W354" s="4" t="s">
        <v>51</v>
      </c>
      <c r="X354" s="4" t="s">
        <v>51</v>
      </c>
      <c r="Y354" s="4" t="s">
        <v>51</v>
      </c>
      <c r="Z354" s="4" t="s">
        <v>343</v>
      </c>
      <c r="AA354" s="10" t="s">
        <v>52</v>
      </c>
      <c r="AC354" s="10" t="s">
        <v>52</v>
      </c>
      <c r="AE354" s="10" t="s">
        <v>52</v>
      </c>
      <c r="AG354" s="4"/>
    </row>
    <row r="355" spans="1:33">
      <c r="A355" s="33" t="s">
        <v>567</v>
      </c>
      <c r="B355" s="4" t="s">
        <v>597</v>
      </c>
      <c r="C355" s="4" t="s">
        <v>598</v>
      </c>
      <c r="D355" s="4" t="s">
        <v>54</v>
      </c>
      <c r="F355" s="4" t="s">
        <v>49</v>
      </c>
      <c r="G355" s="19"/>
      <c r="H355" s="19">
        <v>44869</v>
      </c>
      <c r="I355" s="19">
        <v>45145</v>
      </c>
      <c r="J355" s="34">
        <f t="shared" si="18"/>
        <v>277</v>
      </c>
      <c r="O355" s="4" t="s">
        <v>50</v>
      </c>
      <c r="P355" s="35"/>
      <c r="Q355" s="36"/>
      <c r="R355" s="37"/>
      <c r="S355" s="4"/>
      <c r="T355" s="33"/>
      <c r="U355" s="33"/>
      <c r="V355" s="4"/>
      <c r="W355" s="4" t="s">
        <v>51</v>
      </c>
      <c r="X355" s="4" t="s">
        <v>51</v>
      </c>
      <c r="Y355" s="4" t="s">
        <v>343</v>
      </c>
      <c r="Z355" s="4" t="s">
        <v>343</v>
      </c>
      <c r="AA355" s="10" t="s">
        <v>52</v>
      </c>
      <c r="AC355" s="10" t="s">
        <v>52</v>
      </c>
      <c r="AE355" s="10" t="s">
        <v>52</v>
      </c>
      <c r="AG355" s="4"/>
    </row>
    <row r="356" spans="1:33">
      <c r="A356" s="33" t="s">
        <v>567</v>
      </c>
      <c r="B356" s="4" t="s">
        <v>599</v>
      </c>
      <c r="C356" s="4" t="s">
        <v>600</v>
      </c>
      <c r="D356" s="4" t="s">
        <v>48</v>
      </c>
      <c r="F356" s="4" t="s">
        <v>49</v>
      </c>
      <c r="G356" s="19">
        <v>45194</v>
      </c>
      <c r="H356" s="19">
        <v>44872</v>
      </c>
      <c r="I356" s="19">
        <v>45041</v>
      </c>
      <c r="J356" s="34">
        <f t="shared" si="18"/>
        <v>170</v>
      </c>
      <c r="O356" s="4" t="s">
        <v>50</v>
      </c>
      <c r="P356" s="35"/>
      <c r="Q356" s="36"/>
      <c r="R356" s="37"/>
      <c r="S356" s="4"/>
      <c r="T356" s="33"/>
      <c r="U356" s="33"/>
      <c r="V356" s="4"/>
      <c r="W356" s="4" t="s">
        <v>51</v>
      </c>
      <c r="X356" s="4" t="s">
        <v>51</v>
      </c>
      <c r="Y356" s="4" t="s">
        <v>343</v>
      </c>
      <c r="Z356" s="4" t="s">
        <v>343</v>
      </c>
      <c r="AA356" s="10" t="s">
        <v>52</v>
      </c>
      <c r="AC356" s="10" t="s">
        <v>52</v>
      </c>
      <c r="AE356" s="10" t="s">
        <v>52</v>
      </c>
      <c r="AG356" s="4"/>
    </row>
    <row r="357" spans="1:33">
      <c r="A357" s="33" t="s">
        <v>567</v>
      </c>
      <c r="B357" s="4" t="s">
        <v>601</v>
      </c>
      <c r="C357" s="4" t="s">
        <v>590</v>
      </c>
      <c r="D357" s="4" t="s">
        <v>54</v>
      </c>
      <c r="F357" s="4" t="s">
        <v>49</v>
      </c>
      <c r="G357" s="19"/>
      <c r="H357" s="19">
        <v>44880</v>
      </c>
      <c r="I357" s="19">
        <v>45212</v>
      </c>
      <c r="J357" s="34">
        <f t="shared" si="18"/>
        <v>333</v>
      </c>
      <c r="O357" s="4" t="s">
        <v>50</v>
      </c>
      <c r="P357" s="35"/>
      <c r="Q357" s="36"/>
      <c r="R357" s="37"/>
      <c r="S357" s="4"/>
      <c r="T357" s="33"/>
      <c r="U357" s="33"/>
      <c r="V357" s="4"/>
      <c r="W357" s="4" t="s">
        <v>51</v>
      </c>
      <c r="X357" s="4" t="s">
        <v>51</v>
      </c>
      <c r="Y357" s="4" t="s">
        <v>51</v>
      </c>
      <c r="Z357" s="4" t="s">
        <v>343</v>
      </c>
      <c r="AA357" s="10" t="s">
        <v>52</v>
      </c>
      <c r="AC357" s="10" t="s">
        <v>52</v>
      </c>
      <c r="AE357" s="10" t="s">
        <v>52</v>
      </c>
      <c r="AG357" s="4"/>
    </row>
    <row r="358" spans="1:33">
      <c r="A358" s="33" t="s">
        <v>567</v>
      </c>
      <c r="B358" s="4" t="s">
        <v>602</v>
      </c>
      <c r="C358" s="4" t="s">
        <v>603</v>
      </c>
      <c r="D358" s="4" t="s">
        <v>48</v>
      </c>
      <c r="F358" s="4" t="s">
        <v>49</v>
      </c>
      <c r="G358" s="19">
        <v>45194</v>
      </c>
      <c r="H358" s="19">
        <v>44888</v>
      </c>
      <c r="I358" s="19">
        <v>45163</v>
      </c>
      <c r="J358" s="34">
        <f t="shared" si="18"/>
        <v>276</v>
      </c>
      <c r="O358" s="4" t="s">
        <v>50</v>
      </c>
      <c r="P358" s="35"/>
      <c r="Q358" s="36"/>
      <c r="R358" s="37"/>
      <c r="S358" s="4"/>
      <c r="T358" s="33"/>
      <c r="U358" s="33"/>
      <c r="V358" s="4"/>
      <c r="W358" s="4" t="s">
        <v>51</v>
      </c>
      <c r="X358" s="4" t="s">
        <v>51</v>
      </c>
      <c r="Y358" s="4" t="s">
        <v>343</v>
      </c>
      <c r="Z358" s="4" t="s">
        <v>51</v>
      </c>
      <c r="AA358" s="10" t="s">
        <v>52</v>
      </c>
      <c r="AC358" s="10" t="s">
        <v>52</v>
      </c>
      <c r="AE358" s="10" t="s">
        <v>52</v>
      </c>
      <c r="AG358" s="4"/>
    </row>
    <row r="359" spans="1:33">
      <c r="A359" s="33" t="s">
        <v>567</v>
      </c>
      <c r="B359" s="4" t="s">
        <v>604</v>
      </c>
      <c r="C359" s="4" t="s">
        <v>586</v>
      </c>
      <c r="D359" s="4" t="s">
        <v>48</v>
      </c>
      <c r="F359" s="4" t="s">
        <v>49</v>
      </c>
      <c r="G359" s="19"/>
      <c r="H359" s="19">
        <v>44914</v>
      </c>
      <c r="I359" s="19">
        <v>45236</v>
      </c>
      <c r="J359" s="34">
        <f t="shared" si="18"/>
        <v>323</v>
      </c>
      <c r="O359" s="4" t="s">
        <v>50</v>
      </c>
      <c r="P359" s="35"/>
      <c r="Q359" s="36"/>
      <c r="R359" s="37"/>
      <c r="S359" s="4"/>
      <c r="T359" s="33"/>
      <c r="U359" s="33"/>
      <c r="V359" s="4"/>
      <c r="W359" s="4" t="s">
        <v>51</v>
      </c>
      <c r="X359" s="4" t="s">
        <v>51</v>
      </c>
      <c r="Y359" s="4" t="s">
        <v>343</v>
      </c>
      <c r="Z359" s="4" t="s">
        <v>343</v>
      </c>
      <c r="AA359" s="10" t="s">
        <v>52</v>
      </c>
      <c r="AC359" s="10" t="s">
        <v>52</v>
      </c>
      <c r="AE359" s="10" t="s">
        <v>52</v>
      </c>
      <c r="AG359" s="4"/>
    </row>
    <row r="360" spans="1:33">
      <c r="A360" s="33" t="s">
        <v>567</v>
      </c>
      <c r="B360" s="4" t="s">
        <v>605</v>
      </c>
      <c r="C360" s="4" t="s">
        <v>586</v>
      </c>
      <c r="D360" s="4" t="s">
        <v>48</v>
      </c>
      <c r="F360" s="4" t="s">
        <v>49</v>
      </c>
      <c r="G360" s="19"/>
      <c r="H360" s="19">
        <v>44925</v>
      </c>
      <c r="I360" s="19">
        <v>44964</v>
      </c>
      <c r="J360" s="34">
        <f t="shared" si="18"/>
        <v>40</v>
      </c>
      <c r="O360" s="4" t="s">
        <v>50</v>
      </c>
      <c r="P360" s="4"/>
      <c r="Q360" s="4"/>
      <c r="R360" s="4"/>
      <c r="S360" s="4"/>
      <c r="T360" s="4"/>
      <c r="U360" s="4"/>
      <c r="V360" s="4"/>
      <c r="W360" s="4" t="s">
        <v>50</v>
      </c>
      <c r="X360" s="4" t="s">
        <v>343</v>
      </c>
      <c r="Y360" s="4" t="s">
        <v>343</v>
      </c>
      <c r="Z360" s="4" t="s">
        <v>343</v>
      </c>
      <c r="AA360" s="10" t="s">
        <v>108</v>
      </c>
      <c r="AB360" s="10" t="s">
        <v>582</v>
      </c>
      <c r="AG360" s="4"/>
    </row>
    <row r="361" spans="1:33">
      <c r="A361" s="33" t="s">
        <v>567</v>
      </c>
      <c r="B361" s="4" t="s">
        <v>606</v>
      </c>
      <c r="C361" s="4" t="s">
        <v>607</v>
      </c>
      <c r="D361" s="4" t="s">
        <v>48</v>
      </c>
      <c r="F361" s="4" t="s">
        <v>49</v>
      </c>
      <c r="G361" s="19">
        <v>45174</v>
      </c>
      <c r="H361" s="19">
        <v>44939</v>
      </c>
      <c r="I361" s="19">
        <v>45209</v>
      </c>
      <c r="J361" s="34">
        <f t="shared" si="18"/>
        <v>271</v>
      </c>
      <c r="O361" s="4" t="s">
        <v>50</v>
      </c>
      <c r="P361" s="35"/>
      <c r="Q361" s="36"/>
      <c r="R361" s="37"/>
      <c r="S361" s="4"/>
      <c r="T361" s="33"/>
      <c r="U361" s="33"/>
      <c r="V361" s="4"/>
      <c r="W361" s="4" t="s">
        <v>51</v>
      </c>
      <c r="X361" s="4" t="s">
        <v>51</v>
      </c>
      <c r="Y361" s="4" t="s">
        <v>51</v>
      </c>
      <c r="Z361" s="4" t="s">
        <v>343</v>
      </c>
      <c r="AA361" s="10" t="s">
        <v>52</v>
      </c>
      <c r="AC361" s="10" t="s">
        <v>52</v>
      </c>
      <c r="AE361" s="10" t="s">
        <v>52</v>
      </c>
      <c r="AG361" s="4"/>
    </row>
    <row r="362" spans="1:33">
      <c r="A362" s="33" t="s">
        <v>567</v>
      </c>
      <c r="B362" s="4" t="s">
        <v>608</v>
      </c>
      <c r="C362" s="4" t="s">
        <v>577</v>
      </c>
      <c r="D362" s="4" t="s">
        <v>48</v>
      </c>
      <c r="F362" s="4" t="s">
        <v>49</v>
      </c>
      <c r="G362" s="19">
        <v>45194</v>
      </c>
      <c r="H362" s="19">
        <v>44945</v>
      </c>
      <c r="I362" s="19">
        <v>45210</v>
      </c>
      <c r="J362" s="34">
        <f t="shared" si="18"/>
        <v>266</v>
      </c>
      <c r="O362" s="4" t="s">
        <v>50</v>
      </c>
      <c r="P362" s="35"/>
      <c r="Q362" s="36"/>
      <c r="R362" s="37"/>
      <c r="S362" s="4"/>
      <c r="T362" s="33"/>
      <c r="U362" s="33"/>
      <c r="V362" s="4"/>
      <c r="W362" s="4" t="s">
        <v>51</v>
      </c>
      <c r="X362" s="4" t="s">
        <v>51</v>
      </c>
      <c r="Y362" s="4" t="s">
        <v>51</v>
      </c>
      <c r="Z362" s="4" t="s">
        <v>343</v>
      </c>
      <c r="AA362" s="10" t="s">
        <v>52</v>
      </c>
      <c r="AC362" s="10" t="s">
        <v>52</v>
      </c>
      <c r="AE362" s="10" t="s">
        <v>52</v>
      </c>
      <c r="AG362" s="4"/>
    </row>
    <row r="363" spans="1:33">
      <c r="A363" s="33" t="s">
        <v>567</v>
      </c>
      <c r="B363" s="4" t="s">
        <v>609</v>
      </c>
      <c r="C363" s="4" t="s">
        <v>610</v>
      </c>
      <c r="D363" s="4" t="s">
        <v>48</v>
      </c>
      <c r="F363" s="4" t="s">
        <v>49</v>
      </c>
      <c r="G363" s="19"/>
      <c r="H363" s="19">
        <v>44945</v>
      </c>
      <c r="I363" s="19">
        <v>44978</v>
      </c>
      <c r="J363" s="34">
        <f t="shared" si="18"/>
        <v>34</v>
      </c>
      <c r="O363" s="4" t="s">
        <v>50</v>
      </c>
      <c r="P363" s="35"/>
      <c r="Q363" s="36"/>
      <c r="R363" s="37"/>
      <c r="S363" s="4"/>
      <c r="T363" s="33"/>
      <c r="U363" s="33"/>
      <c r="V363" s="4"/>
      <c r="W363" s="4" t="s">
        <v>51</v>
      </c>
      <c r="X363" s="4" t="s">
        <v>51</v>
      </c>
      <c r="Y363" s="4" t="s">
        <v>343</v>
      </c>
      <c r="Z363" s="4" t="s">
        <v>343</v>
      </c>
      <c r="AA363" s="10" t="s">
        <v>108</v>
      </c>
      <c r="AB363" s="10" t="s">
        <v>582</v>
      </c>
      <c r="AG363" s="4"/>
    </row>
    <row r="364" spans="1:33">
      <c r="A364" s="33" t="s">
        <v>567</v>
      </c>
      <c r="B364" s="4" t="s">
        <v>611</v>
      </c>
      <c r="C364" s="4" t="s">
        <v>612</v>
      </c>
      <c r="D364" s="4" t="s">
        <v>48</v>
      </c>
      <c r="F364" s="4" t="s">
        <v>49</v>
      </c>
      <c r="G364" s="19">
        <v>45194</v>
      </c>
      <c r="H364" s="19">
        <v>44964</v>
      </c>
      <c r="I364" s="19">
        <v>45230</v>
      </c>
      <c r="J364" s="34">
        <f t="shared" si="18"/>
        <v>267</v>
      </c>
      <c r="O364" s="4" t="s">
        <v>50</v>
      </c>
      <c r="P364" s="35"/>
      <c r="Q364" s="36"/>
      <c r="R364" s="37"/>
      <c r="S364" s="4"/>
      <c r="T364" s="33"/>
      <c r="U364" s="33"/>
      <c r="V364" s="4"/>
      <c r="W364" s="4" t="s">
        <v>51</v>
      </c>
      <c r="X364" s="4" t="s">
        <v>51</v>
      </c>
      <c r="Y364" s="4" t="s">
        <v>343</v>
      </c>
      <c r="Z364" s="4" t="s">
        <v>343</v>
      </c>
      <c r="AA364" s="10" t="s">
        <v>52</v>
      </c>
      <c r="AC364" s="10" t="s">
        <v>52</v>
      </c>
      <c r="AE364" s="10" t="s">
        <v>52</v>
      </c>
      <c r="AG364" s="4"/>
    </row>
    <row r="365" spans="1:33">
      <c r="A365" s="33" t="s">
        <v>567</v>
      </c>
      <c r="B365" s="4" t="s">
        <v>613</v>
      </c>
      <c r="C365" s="4" t="s">
        <v>614</v>
      </c>
      <c r="D365" s="4" t="s">
        <v>48</v>
      </c>
      <c r="F365" s="4" t="s">
        <v>49</v>
      </c>
      <c r="G365" s="19">
        <v>45166</v>
      </c>
      <c r="H365" s="19">
        <v>44971</v>
      </c>
      <c r="I365" s="19">
        <v>45240</v>
      </c>
      <c r="J365" s="34">
        <f t="shared" si="18"/>
        <v>270</v>
      </c>
      <c r="O365" s="4" t="s">
        <v>50</v>
      </c>
      <c r="P365" s="35"/>
      <c r="Q365" s="36"/>
      <c r="R365" s="37"/>
      <c r="S365" s="4"/>
      <c r="T365" s="33"/>
      <c r="U365" s="33"/>
      <c r="V365" s="4"/>
      <c r="W365" s="4" t="s">
        <v>51</v>
      </c>
      <c r="X365" s="4" t="s">
        <v>51</v>
      </c>
      <c r="Y365" s="4" t="s">
        <v>343</v>
      </c>
      <c r="Z365" s="4" t="s">
        <v>51</v>
      </c>
      <c r="AA365" s="10" t="s">
        <v>52</v>
      </c>
      <c r="AC365" s="10" t="s">
        <v>52</v>
      </c>
      <c r="AE365" s="10" t="s">
        <v>52</v>
      </c>
      <c r="AG365" s="4"/>
    </row>
    <row r="366" spans="1:33">
      <c r="A366" s="33" t="s">
        <v>567</v>
      </c>
      <c r="B366" s="4" t="s">
        <v>615</v>
      </c>
      <c r="C366" s="4" t="s">
        <v>616</v>
      </c>
      <c r="D366" s="4" t="s">
        <v>48</v>
      </c>
      <c r="F366" s="4" t="s">
        <v>64</v>
      </c>
      <c r="G366" s="19"/>
      <c r="H366" s="19">
        <v>44974</v>
      </c>
      <c r="I366" s="19">
        <v>45247</v>
      </c>
      <c r="J366" s="34">
        <f t="shared" si="18"/>
        <v>274</v>
      </c>
      <c r="O366" s="4" t="s">
        <v>50</v>
      </c>
      <c r="P366" s="35"/>
      <c r="Q366" s="36"/>
      <c r="R366" s="37"/>
      <c r="S366" s="4"/>
      <c r="T366" s="33"/>
      <c r="U366" s="33"/>
      <c r="V366" s="4"/>
      <c r="W366" s="4" t="s">
        <v>51</v>
      </c>
      <c r="X366" s="4" t="s">
        <v>51</v>
      </c>
      <c r="Y366" s="4" t="s">
        <v>343</v>
      </c>
      <c r="Z366" s="4" t="s">
        <v>343</v>
      </c>
      <c r="AA366" s="10" t="s">
        <v>52</v>
      </c>
      <c r="AC366" s="10" t="s">
        <v>52</v>
      </c>
      <c r="AE366" s="10" t="s">
        <v>52</v>
      </c>
      <c r="AG366" s="4"/>
    </row>
    <row r="367" spans="1:33">
      <c r="A367" s="33" t="s">
        <v>567</v>
      </c>
      <c r="B367" s="4" t="s">
        <v>617</v>
      </c>
      <c r="C367" s="4" t="s">
        <v>618</v>
      </c>
      <c r="D367" s="4" t="s">
        <v>54</v>
      </c>
      <c r="F367" s="4" t="s">
        <v>49</v>
      </c>
      <c r="G367" s="19"/>
      <c r="H367" s="19">
        <v>44986</v>
      </c>
      <c r="I367" s="19">
        <v>45113</v>
      </c>
      <c r="J367" s="34">
        <f t="shared" si="18"/>
        <v>128</v>
      </c>
      <c r="O367" s="4" t="s">
        <v>50</v>
      </c>
      <c r="P367" s="35"/>
      <c r="Q367" s="36"/>
      <c r="R367" s="37"/>
      <c r="S367" s="4"/>
      <c r="T367" s="33"/>
      <c r="U367" s="33"/>
      <c r="V367" s="4"/>
      <c r="W367" s="4" t="s">
        <v>51</v>
      </c>
      <c r="X367" s="4" t="s">
        <v>343</v>
      </c>
      <c r="Y367" s="4" t="s">
        <v>343</v>
      </c>
      <c r="Z367" s="4" t="s">
        <v>343</v>
      </c>
      <c r="AA367" s="10" t="s">
        <v>108</v>
      </c>
      <c r="AB367" s="10" t="s">
        <v>619</v>
      </c>
      <c r="AG367" s="4"/>
    </row>
    <row r="368" spans="1:33">
      <c r="A368" s="33" t="s">
        <v>567</v>
      </c>
      <c r="B368" s="4" t="s">
        <v>620</v>
      </c>
      <c r="C368" s="4" t="s">
        <v>584</v>
      </c>
      <c r="D368" s="4" t="s">
        <v>48</v>
      </c>
      <c r="F368" s="4" t="s">
        <v>64</v>
      </c>
      <c r="G368" s="19"/>
      <c r="H368" s="19">
        <v>44993</v>
      </c>
      <c r="I368" s="19">
        <v>45337</v>
      </c>
      <c r="J368" s="34">
        <f t="shared" si="18"/>
        <v>345</v>
      </c>
      <c r="O368" s="4" t="s">
        <v>50</v>
      </c>
      <c r="P368" s="35"/>
      <c r="Q368" s="36"/>
      <c r="R368" s="37"/>
      <c r="S368" s="4"/>
      <c r="T368" s="33"/>
      <c r="U368" s="33"/>
      <c r="V368" s="4"/>
      <c r="W368" s="4" t="s">
        <v>51</v>
      </c>
      <c r="X368" s="4" t="s">
        <v>51</v>
      </c>
      <c r="Y368" s="4" t="s">
        <v>343</v>
      </c>
      <c r="Z368" s="4" t="s">
        <v>343</v>
      </c>
      <c r="AA368" s="10" t="s">
        <v>52</v>
      </c>
      <c r="AC368" s="10" t="s">
        <v>52</v>
      </c>
      <c r="AE368" s="10" t="s">
        <v>52</v>
      </c>
      <c r="AG368" s="4"/>
    </row>
    <row r="369" spans="1:33">
      <c r="A369" s="33" t="s">
        <v>567</v>
      </c>
      <c r="B369" s="4" t="s">
        <v>621</v>
      </c>
      <c r="C369" s="4" t="s">
        <v>571</v>
      </c>
      <c r="D369" s="4" t="s">
        <v>48</v>
      </c>
      <c r="F369" s="4" t="s">
        <v>49</v>
      </c>
      <c r="G369" s="19">
        <v>45166</v>
      </c>
      <c r="H369" s="19">
        <v>45008</v>
      </c>
      <c r="I369" s="19">
        <v>45282</v>
      </c>
      <c r="J369" s="34">
        <f t="shared" si="18"/>
        <v>275</v>
      </c>
      <c r="O369" s="4" t="s">
        <v>50</v>
      </c>
      <c r="P369" s="35"/>
      <c r="Q369" s="36"/>
      <c r="R369" s="37"/>
      <c r="S369" s="4"/>
      <c r="T369" s="33"/>
      <c r="U369" s="33"/>
      <c r="V369" s="4"/>
      <c r="W369" s="4" t="s">
        <v>51</v>
      </c>
      <c r="X369" s="4" t="s">
        <v>51</v>
      </c>
      <c r="Y369" s="4" t="s">
        <v>343</v>
      </c>
      <c r="Z369" s="4" t="s">
        <v>343</v>
      </c>
      <c r="AA369" s="10" t="s">
        <v>52</v>
      </c>
      <c r="AC369" s="10" t="s">
        <v>52</v>
      </c>
      <c r="AE369" s="10" t="s">
        <v>52</v>
      </c>
      <c r="AG369" s="4"/>
    </row>
    <row r="370" spans="1:33">
      <c r="A370" s="33" t="s">
        <v>567</v>
      </c>
      <c r="B370" s="4" t="s">
        <v>622</v>
      </c>
      <c r="C370" s="4" t="s">
        <v>571</v>
      </c>
      <c r="D370" s="4" t="s">
        <v>48</v>
      </c>
      <c r="F370" s="4" t="s">
        <v>49</v>
      </c>
      <c r="G370" s="19">
        <v>45267</v>
      </c>
      <c r="H370" s="19">
        <v>45051</v>
      </c>
      <c r="I370" s="19">
        <v>45326</v>
      </c>
      <c r="J370" s="34">
        <f t="shared" si="18"/>
        <v>276</v>
      </c>
      <c r="O370" s="4" t="s">
        <v>50</v>
      </c>
      <c r="P370" s="35"/>
      <c r="Q370" s="36"/>
      <c r="R370" s="37"/>
      <c r="S370" s="4"/>
      <c r="T370" s="33"/>
      <c r="U370" s="33"/>
      <c r="V370" s="4"/>
      <c r="W370" s="4" t="s">
        <v>51</v>
      </c>
      <c r="X370" s="4" t="s">
        <v>51</v>
      </c>
      <c r="Y370" s="4" t="s">
        <v>343</v>
      </c>
      <c r="Z370" s="4" t="s">
        <v>51</v>
      </c>
      <c r="AA370" s="10" t="s">
        <v>52</v>
      </c>
      <c r="AC370" s="10" t="s">
        <v>52</v>
      </c>
      <c r="AE370" s="10" t="s">
        <v>52</v>
      </c>
      <c r="AG370" s="4"/>
    </row>
    <row r="371" spans="1:33">
      <c r="A371" s="33" t="s">
        <v>567</v>
      </c>
      <c r="B371" s="4" t="s">
        <v>623</v>
      </c>
      <c r="C371" s="4" t="s">
        <v>610</v>
      </c>
      <c r="D371" s="4" t="s">
        <v>48</v>
      </c>
      <c r="F371" s="4" t="s">
        <v>49</v>
      </c>
      <c r="G371" s="19"/>
      <c r="H371" s="19">
        <v>45055</v>
      </c>
      <c r="I371" s="19">
        <v>45540</v>
      </c>
      <c r="J371" s="34">
        <f t="shared" si="18"/>
        <v>486</v>
      </c>
      <c r="O371" s="4" t="s">
        <v>50</v>
      </c>
      <c r="P371" s="35"/>
      <c r="Q371" s="36"/>
      <c r="R371" s="37"/>
      <c r="S371" s="4"/>
      <c r="T371" s="33"/>
      <c r="U371" s="33"/>
      <c r="V371" s="4"/>
      <c r="W371" s="4" t="s">
        <v>51</v>
      </c>
      <c r="X371" s="4" t="s">
        <v>51</v>
      </c>
      <c r="Y371" s="4" t="s">
        <v>343</v>
      </c>
      <c r="Z371" s="4" t="s">
        <v>343</v>
      </c>
      <c r="AA371" s="10" t="s">
        <v>52</v>
      </c>
      <c r="AC371" s="10" t="s">
        <v>52</v>
      </c>
      <c r="AE371" s="10" t="s">
        <v>52</v>
      </c>
      <c r="AG371" s="4"/>
    </row>
    <row r="372" spans="1:33">
      <c r="A372" s="33" t="s">
        <v>567</v>
      </c>
      <c r="B372" s="4" t="s">
        <v>624</v>
      </c>
      <c r="C372" s="4" t="s">
        <v>625</v>
      </c>
      <c r="D372" s="4" t="s">
        <v>48</v>
      </c>
      <c r="F372" s="4" t="s">
        <v>56</v>
      </c>
      <c r="G372" s="19"/>
      <c r="H372" s="19">
        <v>45069</v>
      </c>
      <c r="I372" s="19">
        <v>45581</v>
      </c>
      <c r="J372" s="34">
        <f t="shared" si="18"/>
        <v>513</v>
      </c>
      <c r="O372" s="4" t="s">
        <v>50</v>
      </c>
      <c r="P372" s="35"/>
      <c r="Q372" s="36"/>
      <c r="R372" s="37"/>
      <c r="S372" s="4"/>
      <c r="T372" s="33"/>
      <c r="U372" s="33"/>
      <c r="V372" s="4"/>
      <c r="W372" s="4" t="s">
        <v>51</v>
      </c>
      <c r="X372" s="4" t="s">
        <v>51</v>
      </c>
      <c r="Y372" s="4" t="s">
        <v>51</v>
      </c>
      <c r="Z372" s="4" t="s">
        <v>343</v>
      </c>
      <c r="AA372" s="10" t="s">
        <v>52</v>
      </c>
      <c r="AC372" s="10" t="s">
        <v>52</v>
      </c>
      <c r="AE372" s="10" t="s">
        <v>52</v>
      </c>
      <c r="AG372" s="4"/>
    </row>
    <row r="373" spans="1:33">
      <c r="A373" s="33" t="s">
        <v>567</v>
      </c>
      <c r="B373" s="4" t="s">
        <v>626</v>
      </c>
      <c r="C373" s="4" t="s">
        <v>588</v>
      </c>
      <c r="D373" s="4" t="s">
        <v>54</v>
      </c>
      <c r="F373" s="4" t="s">
        <v>49</v>
      </c>
      <c r="G373" s="19"/>
      <c r="H373" s="19">
        <v>45075</v>
      </c>
      <c r="I373" s="19">
        <v>45106</v>
      </c>
      <c r="J373" s="34">
        <f t="shared" ref="J373:J391" si="19">IF(AND(H373&lt;&gt;"",I373&lt;&gt;""),I373-H373+1,"")</f>
        <v>32</v>
      </c>
      <c r="O373" s="4" t="s">
        <v>50</v>
      </c>
      <c r="P373" s="35"/>
      <c r="Q373" s="36"/>
      <c r="R373" s="37"/>
      <c r="S373" s="4"/>
      <c r="T373" s="33"/>
      <c r="U373" s="33"/>
      <c r="V373" s="4"/>
      <c r="W373" s="4" t="s">
        <v>51</v>
      </c>
      <c r="X373" s="4" t="s">
        <v>343</v>
      </c>
      <c r="Y373" s="4" t="s">
        <v>343</v>
      </c>
      <c r="Z373" s="4" t="s">
        <v>343</v>
      </c>
      <c r="AA373" s="10" t="s">
        <v>108</v>
      </c>
      <c r="AB373" s="10" t="s">
        <v>582</v>
      </c>
      <c r="AG373" s="4"/>
    </row>
    <row r="374" spans="1:33">
      <c r="A374" s="33" t="s">
        <v>567</v>
      </c>
      <c r="B374" s="4" t="s">
        <v>627</v>
      </c>
      <c r="C374" s="4" t="s">
        <v>577</v>
      </c>
      <c r="D374" s="4" t="s">
        <v>48</v>
      </c>
      <c r="F374" s="4" t="s">
        <v>49</v>
      </c>
      <c r="G374" s="19"/>
      <c r="H374" s="19">
        <v>45076</v>
      </c>
      <c r="I374" s="19">
        <v>45526</v>
      </c>
      <c r="J374" s="34">
        <f t="shared" si="19"/>
        <v>451</v>
      </c>
      <c r="O374" s="4" t="s">
        <v>50</v>
      </c>
      <c r="P374" s="35"/>
      <c r="Q374" s="36"/>
      <c r="R374" s="37"/>
      <c r="S374" s="4"/>
      <c r="T374" s="33"/>
      <c r="U374" s="33"/>
      <c r="V374" s="4"/>
      <c r="W374" s="4" t="s">
        <v>51</v>
      </c>
      <c r="X374" s="4" t="s">
        <v>51</v>
      </c>
      <c r="Y374" s="4" t="s">
        <v>343</v>
      </c>
      <c r="Z374" s="4" t="s">
        <v>343</v>
      </c>
      <c r="AA374" s="10" t="s">
        <v>52</v>
      </c>
      <c r="AC374" s="10" t="s">
        <v>52</v>
      </c>
      <c r="AE374" s="10" t="s">
        <v>52</v>
      </c>
      <c r="AG374" s="4"/>
    </row>
    <row r="375" spans="1:33">
      <c r="A375" s="33" t="s">
        <v>567</v>
      </c>
      <c r="B375" s="4" t="s">
        <v>628</v>
      </c>
      <c r="C375" s="4" t="s">
        <v>629</v>
      </c>
      <c r="D375" s="4" t="s">
        <v>48</v>
      </c>
      <c r="F375" s="4" t="s">
        <v>49</v>
      </c>
      <c r="G375" s="19"/>
      <c r="H375" s="19">
        <v>45096</v>
      </c>
      <c r="I375" s="19">
        <v>45229</v>
      </c>
      <c r="J375" s="34">
        <f t="shared" si="19"/>
        <v>134</v>
      </c>
      <c r="O375" s="4" t="s">
        <v>51</v>
      </c>
      <c r="P375" s="35"/>
      <c r="Q375" s="36"/>
      <c r="R375" s="37"/>
      <c r="S375" s="4"/>
      <c r="T375" s="33"/>
      <c r="U375" s="33"/>
      <c r="V375" s="4"/>
      <c r="W375" s="4" t="s">
        <v>51</v>
      </c>
      <c r="X375" s="4" t="s">
        <v>51</v>
      </c>
      <c r="Y375" s="4" t="s">
        <v>343</v>
      </c>
      <c r="Z375" s="4" t="s">
        <v>343</v>
      </c>
      <c r="AA375" s="10" t="s">
        <v>108</v>
      </c>
      <c r="AB375" s="10" t="s">
        <v>582</v>
      </c>
      <c r="AG375" s="4"/>
    </row>
    <row r="376" spans="1:33">
      <c r="A376" s="33" t="s">
        <v>567</v>
      </c>
      <c r="B376" s="4" t="s">
        <v>630</v>
      </c>
      <c r="C376" s="4" t="s">
        <v>579</v>
      </c>
      <c r="D376" s="4" t="s">
        <v>48</v>
      </c>
      <c r="F376" s="4" t="s">
        <v>64</v>
      </c>
      <c r="G376" s="19"/>
      <c r="H376" s="19">
        <v>45111</v>
      </c>
      <c r="I376" s="19">
        <v>45631</v>
      </c>
      <c r="J376" s="34">
        <f t="shared" si="19"/>
        <v>521</v>
      </c>
      <c r="O376" s="4" t="s">
        <v>50</v>
      </c>
      <c r="P376" s="35"/>
      <c r="Q376" s="36"/>
      <c r="R376" s="37"/>
      <c r="S376" s="4"/>
      <c r="T376" s="33"/>
      <c r="U376" s="33"/>
      <c r="V376" s="4"/>
      <c r="W376" s="4" t="s">
        <v>51</v>
      </c>
      <c r="X376" s="4" t="s">
        <v>51</v>
      </c>
      <c r="Y376" s="4" t="s">
        <v>343</v>
      </c>
      <c r="Z376" s="4" t="s">
        <v>343</v>
      </c>
      <c r="AA376" s="10" t="s">
        <v>52</v>
      </c>
      <c r="AC376" s="10" t="s">
        <v>52</v>
      </c>
      <c r="AE376" s="10" t="s">
        <v>52</v>
      </c>
      <c r="AG376" s="4"/>
    </row>
    <row r="377" spans="1:33">
      <c r="A377" s="33" t="s">
        <v>567</v>
      </c>
      <c r="B377" s="4" t="s">
        <v>631</v>
      </c>
      <c r="C377" s="4" t="s">
        <v>632</v>
      </c>
      <c r="D377" s="4" t="s">
        <v>54</v>
      </c>
      <c r="F377" s="4" t="s">
        <v>49</v>
      </c>
      <c r="G377" s="19"/>
      <c r="H377" s="19">
        <v>45117</v>
      </c>
      <c r="I377" s="19">
        <v>45418</v>
      </c>
      <c r="J377" s="34">
        <f t="shared" si="19"/>
        <v>302</v>
      </c>
      <c r="O377" s="4" t="s">
        <v>50</v>
      </c>
      <c r="P377" s="35"/>
      <c r="Q377" s="36"/>
      <c r="R377" s="37"/>
      <c r="S377" s="4"/>
      <c r="T377" s="33"/>
      <c r="U377" s="33"/>
      <c r="V377" s="4"/>
      <c r="W377" s="4" t="s">
        <v>51</v>
      </c>
      <c r="X377" s="4" t="s">
        <v>51</v>
      </c>
      <c r="Y377" s="4" t="s">
        <v>343</v>
      </c>
      <c r="Z377" s="4" t="s">
        <v>51</v>
      </c>
      <c r="AA377" s="10" t="s">
        <v>52</v>
      </c>
      <c r="AC377" s="10" t="s">
        <v>52</v>
      </c>
      <c r="AE377" s="10" t="s">
        <v>52</v>
      </c>
      <c r="AG377" s="4"/>
    </row>
    <row r="378" spans="1:33">
      <c r="A378" s="33" t="s">
        <v>567</v>
      </c>
      <c r="B378" s="4" t="s">
        <v>633</v>
      </c>
      <c r="C378" s="4" t="s">
        <v>616</v>
      </c>
      <c r="D378" s="4" t="s">
        <v>48</v>
      </c>
      <c r="F378" s="4" t="s">
        <v>49</v>
      </c>
      <c r="G378" s="19"/>
      <c r="H378" s="19">
        <v>45118</v>
      </c>
      <c r="I378" s="19">
        <v>45302</v>
      </c>
      <c r="J378" s="34">
        <f t="shared" si="19"/>
        <v>185</v>
      </c>
      <c r="O378" s="4" t="s">
        <v>50</v>
      </c>
      <c r="P378" s="35"/>
      <c r="Q378" s="36"/>
      <c r="R378" s="37"/>
      <c r="S378" s="4"/>
      <c r="T378" s="33"/>
      <c r="U378" s="33"/>
      <c r="V378" s="4"/>
      <c r="W378" s="4" t="s">
        <v>51</v>
      </c>
      <c r="X378" s="4" t="s">
        <v>343</v>
      </c>
      <c r="Y378" s="4" t="s">
        <v>343</v>
      </c>
      <c r="Z378" s="4" t="s">
        <v>343</v>
      </c>
      <c r="AA378" s="10" t="s">
        <v>108</v>
      </c>
      <c r="AB378" s="10" t="s">
        <v>582</v>
      </c>
      <c r="AG378" s="4"/>
    </row>
    <row r="379" spans="1:33">
      <c r="A379" s="33" t="s">
        <v>567</v>
      </c>
      <c r="B379" s="4" t="s">
        <v>634</v>
      </c>
      <c r="C379" s="4" t="s">
        <v>588</v>
      </c>
      <c r="D379" s="4" t="s">
        <v>54</v>
      </c>
      <c r="F379" s="4" t="s">
        <v>49</v>
      </c>
      <c r="G379" s="19"/>
      <c r="H379" s="19">
        <v>45118</v>
      </c>
      <c r="I379" s="19">
        <v>45439</v>
      </c>
      <c r="J379" s="34">
        <f t="shared" si="19"/>
        <v>322</v>
      </c>
      <c r="O379" s="4" t="s">
        <v>50</v>
      </c>
      <c r="P379" s="35"/>
      <c r="Q379" s="36"/>
      <c r="R379" s="37"/>
      <c r="S379" s="4"/>
      <c r="T379" s="33"/>
      <c r="U379" s="33"/>
      <c r="V379" s="4"/>
      <c r="W379" s="4" t="s">
        <v>51</v>
      </c>
      <c r="X379" s="4" t="s">
        <v>51</v>
      </c>
      <c r="Y379" s="4" t="s">
        <v>343</v>
      </c>
      <c r="Z379" s="4" t="s">
        <v>51</v>
      </c>
      <c r="AA379" s="10" t="s">
        <v>52</v>
      </c>
      <c r="AC379" s="10" t="s">
        <v>52</v>
      </c>
      <c r="AE379" s="10" t="s">
        <v>52</v>
      </c>
      <c r="AG379" s="4"/>
    </row>
    <row r="380" spans="1:33">
      <c r="A380" s="33" t="s">
        <v>567</v>
      </c>
      <c r="B380" s="4" t="s">
        <v>635</v>
      </c>
      <c r="C380" s="4" t="s">
        <v>636</v>
      </c>
      <c r="D380" s="4" t="s">
        <v>48</v>
      </c>
      <c r="F380" s="4" t="s">
        <v>49</v>
      </c>
      <c r="G380" s="19"/>
      <c r="H380" s="19">
        <v>45118</v>
      </c>
      <c r="I380" s="19">
        <v>45384</v>
      </c>
      <c r="J380" s="34">
        <f t="shared" si="19"/>
        <v>267</v>
      </c>
      <c r="O380" s="4" t="s">
        <v>50</v>
      </c>
      <c r="P380" s="35"/>
      <c r="Q380" s="36"/>
      <c r="R380" s="37"/>
      <c r="S380" s="4"/>
      <c r="T380" s="33"/>
      <c r="U380" s="33"/>
      <c r="V380" s="4"/>
      <c r="W380" s="4" t="s">
        <v>51</v>
      </c>
      <c r="X380" s="4" t="s">
        <v>51</v>
      </c>
      <c r="Y380" s="4" t="s">
        <v>343</v>
      </c>
      <c r="Z380" s="4" t="s">
        <v>343</v>
      </c>
      <c r="AA380" s="10" t="s">
        <v>52</v>
      </c>
      <c r="AC380" s="10" t="s">
        <v>52</v>
      </c>
      <c r="AE380" s="10" t="s">
        <v>52</v>
      </c>
      <c r="AG380" s="4"/>
    </row>
    <row r="381" spans="1:33">
      <c r="A381" s="33" t="s">
        <v>567</v>
      </c>
      <c r="B381" s="4" t="s">
        <v>637</v>
      </c>
      <c r="C381" s="4" t="s">
        <v>638</v>
      </c>
      <c r="D381" s="4" t="s">
        <v>48</v>
      </c>
      <c r="F381" s="4" t="s">
        <v>49</v>
      </c>
      <c r="G381" s="19"/>
      <c r="H381" s="19">
        <v>45124</v>
      </c>
      <c r="I381" s="19">
        <v>45558</v>
      </c>
      <c r="J381" s="34">
        <f t="shared" si="19"/>
        <v>435</v>
      </c>
      <c r="O381" s="4" t="s">
        <v>50</v>
      </c>
      <c r="P381" s="35"/>
      <c r="Q381" s="36"/>
      <c r="R381" s="37"/>
      <c r="S381" s="4"/>
      <c r="T381" s="33"/>
      <c r="U381" s="33"/>
      <c r="V381" s="4"/>
      <c r="W381" s="4" t="s">
        <v>51</v>
      </c>
      <c r="X381" s="4" t="s">
        <v>51</v>
      </c>
      <c r="Y381" s="4" t="s">
        <v>343</v>
      </c>
      <c r="Z381" s="4" t="s">
        <v>343</v>
      </c>
      <c r="AA381" s="10" t="s">
        <v>52</v>
      </c>
      <c r="AC381" s="10" t="s">
        <v>52</v>
      </c>
      <c r="AE381" s="10" t="s">
        <v>52</v>
      </c>
      <c r="AG381" s="4"/>
    </row>
    <row r="382" spans="1:33">
      <c r="A382" s="33" t="s">
        <v>567</v>
      </c>
      <c r="B382" s="4" t="s">
        <v>639</v>
      </c>
      <c r="C382" s="4" t="s">
        <v>640</v>
      </c>
      <c r="D382" s="4" t="s">
        <v>48</v>
      </c>
      <c r="F382" s="4" t="s">
        <v>49</v>
      </c>
      <c r="G382" s="19">
        <v>45364</v>
      </c>
      <c r="H382" s="19">
        <v>45140</v>
      </c>
      <c r="I382" s="19">
        <v>45499</v>
      </c>
      <c r="J382" s="34">
        <f t="shared" si="19"/>
        <v>360</v>
      </c>
      <c r="O382" s="4" t="s">
        <v>50</v>
      </c>
      <c r="P382" s="35"/>
      <c r="Q382" s="36"/>
      <c r="R382" s="37"/>
      <c r="S382" s="4"/>
      <c r="T382" s="33"/>
      <c r="U382" s="33"/>
      <c r="V382" s="4"/>
      <c r="W382" s="4" t="s">
        <v>51</v>
      </c>
      <c r="X382" s="4" t="s">
        <v>51</v>
      </c>
      <c r="Y382" s="4" t="s">
        <v>343</v>
      </c>
      <c r="Z382" s="4" t="s">
        <v>343</v>
      </c>
      <c r="AA382" s="10" t="s">
        <v>52</v>
      </c>
      <c r="AC382" s="10" t="s">
        <v>52</v>
      </c>
      <c r="AE382" s="10" t="s">
        <v>52</v>
      </c>
      <c r="AG382" s="4"/>
    </row>
    <row r="383" spans="1:33">
      <c r="A383" s="33" t="s">
        <v>567</v>
      </c>
      <c r="B383" s="4" t="s">
        <v>641</v>
      </c>
      <c r="C383" s="4" t="s">
        <v>594</v>
      </c>
      <c r="D383" s="4" t="s">
        <v>48</v>
      </c>
      <c r="F383" s="4" t="s">
        <v>49</v>
      </c>
      <c r="G383" s="19">
        <v>45380</v>
      </c>
      <c r="H383" s="19">
        <v>45206</v>
      </c>
      <c r="I383" s="19">
        <v>45490</v>
      </c>
      <c r="J383" s="34">
        <f t="shared" si="19"/>
        <v>285</v>
      </c>
      <c r="O383" s="4" t="s">
        <v>50</v>
      </c>
      <c r="P383" s="35"/>
      <c r="Q383" s="36"/>
      <c r="R383" s="37"/>
      <c r="S383" s="4"/>
      <c r="T383" s="33"/>
      <c r="U383" s="33"/>
      <c r="V383" s="4"/>
      <c r="W383" s="4" t="s">
        <v>51</v>
      </c>
      <c r="X383" s="4" t="s">
        <v>51</v>
      </c>
      <c r="Y383" s="4" t="s">
        <v>343</v>
      </c>
      <c r="Z383" s="4" t="s">
        <v>343</v>
      </c>
      <c r="AA383" s="10" t="s">
        <v>52</v>
      </c>
      <c r="AC383" s="10" t="s">
        <v>52</v>
      </c>
      <c r="AE383" s="10" t="s">
        <v>52</v>
      </c>
      <c r="AG383" s="4"/>
    </row>
    <row r="384" spans="1:33">
      <c r="A384" s="33" t="s">
        <v>567</v>
      </c>
      <c r="B384" s="4" t="s">
        <v>642</v>
      </c>
      <c r="C384" s="4" t="s">
        <v>629</v>
      </c>
      <c r="D384" s="4" t="s">
        <v>48</v>
      </c>
      <c r="F384" s="4" t="s">
        <v>49</v>
      </c>
      <c r="G384" s="19"/>
      <c r="H384" s="19">
        <v>45180</v>
      </c>
      <c r="I384" s="19">
        <v>45681</v>
      </c>
      <c r="J384" s="34">
        <f t="shared" si="19"/>
        <v>502</v>
      </c>
      <c r="O384" s="4" t="s">
        <v>50</v>
      </c>
      <c r="P384" s="35"/>
      <c r="Q384" s="36"/>
      <c r="R384" s="37"/>
      <c r="S384" s="4"/>
      <c r="T384" s="33"/>
      <c r="U384" s="33"/>
      <c r="V384" s="4"/>
      <c r="W384" s="4" t="s">
        <v>51</v>
      </c>
      <c r="X384" s="4" t="s">
        <v>51</v>
      </c>
      <c r="Y384" s="4" t="s">
        <v>343</v>
      </c>
      <c r="Z384" s="4" t="s">
        <v>343</v>
      </c>
      <c r="AA384" s="10" t="s">
        <v>52</v>
      </c>
      <c r="AC384" s="10" t="s">
        <v>52</v>
      </c>
      <c r="AE384" s="10" t="s">
        <v>52</v>
      </c>
      <c r="AG384" s="4"/>
    </row>
    <row r="385" spans="1:33">
      <c r="A385" s="33" t="s">
        <v>567</v>
      </c>
      <c r="B385" s="4" t="s">
        <v>621</v>
      </c>
      <c r="C385" s="4" t="s">
        <v>594</v>
      </c>
      <c r="D385" s="4" t="s">
        <v>54</v>
      </c>
      <c r="F385" s="4" t="s">
        <v>49</v>
      </c>
      <c r="G385" s="19"/>
      <c r="H385" s="19">
        <v>45218</v>
      </c>
      <c r="I385" s="19">
        <v>45544</v>
      </c>
      <c r="J385" s="34">
        <f t="shared" si="19"/>
        <v>327</v>
      </c>
      <c r="O385" s="4" t="s">
        <v>50</v>
      </c>
      <c r="P385" s="35"/>
      <c r="Q385" s="36"/>
      <c r="R385" s="37"/>
      <c r="S385" s="4"/>
      <c r="T385" s="33"/>
      <c r="U385" s="33"/>
      <c r="V385" s="4"/>
      <c r="W385" s="4" t="s">
        <v>51</v>
      </c>
      <c r="X385" s="4" t="s">
        <v>51</v>
      </c>
      <c r="Y385" s="4" t="s">
        <v>343</v>
      </c>
      <c r="Z385" s="4" t="s">
        <v>343</v>
      </c>
      <c r="AA385" s="10" t="s">
        <v>52</v>
      </c>
      <c r="AC385" s="10" t="s">
        <v>52</v>
      </c>
      <c r="AE385" s="10" t="s">
        <v>52</v>
      </c>
      <c r="AG385" s="4"/>
    </row>
    <row r="386" spans="1:33">
      <c r="A386" s="33" t="s">
        <v>567</v>
      </c>
      <c r="B386" s="4" t="s">
        <v>643</v>
      </c>
      <c r="C386" s="4" t="s">
        <v>607</v>
      </c>
      <c r="D386" s="4" t="s">
        <v>48</v>
      </c>
      <c r="F386" s="4" t="s">
        <v>49</v>
      </c>
      <c r="G386" s="19">
        <v>45390</v>
      </c>
      <c r="H386" s="19">
        <v>45208</v>
      </c>
      <c r="I386" s="19">
        <v>45390</v>
      </c>
      <c r="J386" s="34">
        <f t="shared" si="19"/>
        <v>183</v>
      </c>
      <c r="O386" s="4" t="s">
        <v>50</v>
      </c>
      <c r="P386" s="35"/>
      <c r="Q386" s="36"/>
      <c r="R386" s="37"/>
      <c r="S386" s="4"/>
      <c r="T386" s="33"/>
      <c r="U386" s="33"/>
      <c r="V386" s="4"/>
      <c r="W386" s="4" t="s">
        <v>51</v>
      </c>
      <c r="X386" s="4" t="s">
        <v>51</v>
      </c>
      <c r="Y386" s="4" t="s">
        <v>343</v>
      </c>
      <c r="Z386" s="4" t="s">
        <v>343</v>
      </c>
      <c r="AA386" s="10" t="s">
        <v>52</v>
      </c>
      <c r="AC386" s="10" t="s">
        <v>52</v>
      </c>
      <c r="AE386" s="10" t="s">
        <v>52</v>
      </c>
      <c r="AG386" s="4"/>
    </row>
    <row r="387" spans="1:33">
      <c r="A387" s="33" t="s">
        <v>567</v>
      </c>
      <c r="B387" s="4" t="s">
        <v>644</v>
      </c>
      <c r="C387" s="4" t="s">
        <v>645</v>
      </c>
      <c r="D387" s="4" t="s">
        <v>54</v>
      </c>
      <c r="F387" s="4" t="s">
        <v>56</v>
      </c>
      <c r="G387" s="19"/>
      <c r="H387" s="19">
        <v>45259</v>
      </c>
      <c r="I387" s="19">
        <v>45674</v>
      </c>
      <c r="J387" s="34">
        <f t="shared" si="19"/>
        <v>416</v>
      </c>
      <c r="O387" s="4" t="s">
        <v>50</v>
      </c>
      <c r="P387" s="35"/>
      <c r="Q387" s="36"/>
      <c r="R387" s="37"/>
      <c r="S387" s="4"/>
      <c r="T387" s="33"/>
      <c r="U387" s="33"/>
      <c r="V387" s="4"/>
      <c r="W387" s="4" t="s">
        <v>51</v>
      </c>
      <c r="X387" s="4" t="s">
        <v>51</v>
      </c>
      <c r="Y387" s="4" t="s">
        <v>343</v>
      </c>
      <c r="Z387" s="4" t="s">
        <v>343</v>
      </c>
      <c r="AA387" s="10" t="s">
        <v>52</v>
      </c>
      <c r="AC387" s="10" t="s">
        <v>52</v>
      </c>
      <c r="AE387" s="10" t="s">
        <v>52</v>
      </c>
      <c r="AG387" s="4"/>
    </row>
    <row r="388" spans="1:33">
      <c r="A388" s="33" t="s">
        <v>567</v>
      </c>
      <c r="B388" s="4" t="s">
        <v>646</v>
      </c>
      <c r="C388" s="4" t="s">
        <v>590</v>
      </c>
      <c r="D388" s="4" t="s">
        <v>48</v>
      </c>
      <c r="F388" s="4" t="s">
        <v>49</v>
      </c>
      <c r="G388" s="19"/>
      <c r="H388" s="19">
        <v>45258</v>
      </c>
      <c r="I388" s="19">
        <v>45281</v>
      </c>
      <c r="J388" s="34">
        <f t="shared" si="19"/>
        <v>24</v>
      </c>
      <c r="O388" s="4" t="s">
        <v>50</v>
      </c>
      <c r="P388" s="35"/>
      <c r="Q388" s="36"/>
      <c r="R388" s="37"/>
      <c r="S388" s="4"/>
      <c r="T388" s="33"/>
      <c r="U388" s="33"/>
      <c r="V388" s="4"/>
      <c r="W388" s="4" t="s">
        <v>51</v>
      </c>
      <c r="X388" s="4" t="s">
        <v>343</v>
      </c>
      <c r="Y388" s="4" t="s">
        <v>343</v>
      </c>
      <c r="Z388" s="4" t="s">
        <v>343</v>
      </c>
      <c r="AA388" s="10" t="s">
        <v>108</v>
      </c>
      <c r="AB388" s="10" t="s">
        <v>582</v>
      </c>
      <c r="AG388" s="4"/>
    </row>
    <row r="389" spans="1:33">
      <c r="A389" s="33" t="s">
        <v>567</v>
      </c>
      <c r="B389" s="4" t="s">
        <v>647</v>
      </c>
      <c r="C389" s="4" t="s">
        <v>632</v>
      </c>
      <c r="D389" s="4" t="s">
        <v>48</v>
      </c>
      <c r="F389" s="4" t="s">
        <v>49</v>
      </c>
      <c r="G389" s="19">
        <v>45517</v>
      </c>
      <c r="H389" s="19">
        <v>45341</v>
      </c>
      <c r="I389" s="19">
        <v>45618</v>
      </c>
      <c r="J389" s="34">
        <f t="shared" si="19"/>
        <v>278</v>
      </c>
      <c r="O389" s="4" t="s">
        <v>50</v>
      </c>
      <c r="P389" s="35"/>
      <c r="Q389" s="36"/>
      <c r="R389" s="37"/>
      <c r="S389" s="4"/>
      <c r="T389" s="33"/>
      <c r="U389" s="33"/>
      <c r="V389" s="4"/>
      <c r="W389" s="4" t="s">
        <v>51</v>
      </c>
      <c r="X389" s="4" t="s">
        <v>51</v>
      </c>
      <c r="Y389" s="4" t="s">
        <v>343</v>
      </c>
      <c r="Z389" s="4" t="s">
        <v>343</v>
      </c>
      <c r="AA389" s="10" t="s">
        <v>52</v>
      </c>
      <c r="AC389" s="10" t="s">
        <v>52</v>
      </c>
      <c r="AE389" s="10" t="s">
        <v>52</v>
      </c>
      <c r="AG389" s="4"/>
    </row>
    <row r="390" spans="1:33">
      <c r="A390" s="33" t="s">
        <v>567</v>
      </c>
      <c r="B390" s="4" t="s">
        <v>648</v>
      </c>
      <c r="C390" s="4" t="s">
        <v>649</v>
      </c>
      <c r="D390" s="4" t="s">
        <v>48</v>
      </c>
      <c r="F390" s="4" t="s">
        <v>49</v>
      </c>
      <c r="G390" s="19"/>
      <c r="H390" s="19">
        <v>45356</v>
      </c>
      <c r="I390" s="19">
        <v>45624</v>
      </c>
      <c r="J390" s="34">
        <f t="shared" si="19"/>
        <v>269</v>
      </c>
      <c r="O390" s="4" t="s">
        <v>50</v>
      </c>
      <c r="P390" s="35"/>
      <c r="Q390" s="36"/>
      <c r="R390" s="37"/>
      <c r="S390" s="4"/>
      <c r="T390" s="33"/>
      <c r="U390" s="33"/>
      <c r="V390" s="4"/>
      <c r="W390" s="4" t="s">
        <v>51</v>
      </c>
      <c r="X390" s="4" t="s">
        <v>51</v>
      </c>
      <c r="Y390" s="4" t="s">
        <v>343</v>
      </c>
      <c r="Z390" s="4" t="s">
        <v>343</v>
      </c>
      <c r="AA390" s="10" t="s">
        <v>52</v>
      </c>
      <c r="AC390" s="10" t="s">
        <v>52</v>
      </c>
      <c r="AE390" s="10" t="s">
        <v>52</v>
      </c>
      <c r="AG390" s="4"/>
    </row>
    <row r="391" spans="1:33">
      <c r="A391" s="33" t="s">
        <v>567</v>
      </c>
      <c r="B391" s="4" t="s">
        <v>650</v>
      </c>
      <c r="C391" s="4" t="s">
        <v>651</v>
      </c>
      <c r="D391" s="4" t="s">
        <v>48</v>
      </c>
      <c r="F391" s="4" t="s">
        <v>49</v>
      </c>
      <c r="G391" s="19"/>
      <c r="H391" s="19">
        <v>45380</v>
      </c>
      <c r="I391" s="19">
        <v>45785</v>
      </c>
      <c r="J391" s="34">
        <f t="shared" si="19"/>
        <v>406</v>
      </c>
      <c r="O391" s="4" t="s">
        <v>50</v>
      </c>
      <c r="P391" s="35"/>
      <c r="Q391" s="36"/>
      <c r="R391" s="37"/>
      <c r="S391" s="4"/>
      <c r="T391" s="33"/>
      <c r="U391" s="33"/>
      <c r="V391" s="4"/>
      <c r="W391" s="4" t="s">
        <v>51</v>
      </c>
      <c r="X391" s="4" t="s">
        <v>51</v>
      </c>
      <c r="Y391" s="4" t="s">
        <v>343</v>
      </c>
      <c r="Z391" s="4" t="s">
        <v>343</v>
      </c>
      <c r="AA391" s="10" t="s">
        <v>52</v>
      </c>
      <c r="AC391" s="10" t="s">
        <v>52</v>
      </c>
      <c r="AE391" s="10" t="s">
        <v>52</v>
      </c>
      <c r="AG391" s="4"/>
    </row>
    <row r="392" ht="27" spans="1:33">
      <c r="A392" s="33" t="s">
        <v>652</v>
      </c>
      <c r="B392" s="4" t="s">
        <v>653</v>
      </c>
      <c r="C392" s="4">
        <v>30</v>
      </c>
      <c r="D392" s="4" t="s">
        <v>54</v>
      </c>
      <c r="F392" s="4" t="s">
        <v>49</v>
      </c>
      <c r="G392" s="19">
        <v>45450</v>
      </c>
      <c r="H392" s="19">
        <v>45282</v>
      </c>
      <c r="I392" s="19">
        <v>45542</v>
      </c>
      <c r="J392" s="34">
        <f t="shared" ref="J392:J436" si="20">IF(AND(H392&lt;&gt;"",I392&lt;&gt;""),I392-H392+1,"")</f>
        <v>261</v>
      </c>
      <c r="O392" s="4" t="s">
        <v>50</v>
      </c>
      <c r="P392" s="4"/>
      <c r="Q392" s="4"/>
      <c r="R392" s="4" t="str">
        <f t="shared" ref="R392:R436" si="21">IF(AND(P392&lt;&gt;"",Q392&lt;&gt;""),P392/(Q392/100)^2,"")</f>
        <v/>
      </c>
      <c r="S392" s="4"/>
      <c r="T392" s="4"/>
      <c r="U392" s="4"/>
      <c r="V392" s="4"/>
      <c r="W392" s="4" t="s">
        <v>51</v>
      </c>
      <c r="X392" s="4" t="s">
        <v>51</v>
      </c>
      <c r="Y392" s="4" t="s">
        <v>51</v>
      </c>
      <c r="Z392" s="4" t="s">
        <v>51</v>
      </c>
      <c r="AA392" s="4" t="s">
        <v>52</v>
      </c>
      <c r="AB392" s="4" t="s">
        <v>397</v>
      </c>
      <c r="AC392" s="4" t="s">
        <v>52</v>
      </c>
      <c r="AD392" s="4" t="s">
        <v>397</v>
      </c>
      <c r="AE392" s="4" t="s">
        <v>52</v>
      </c>
      <c r="AF392" s="4" t="s">
        <v>397</v>
      </c>
      <c r="AG392" s="4" t="s">
        <v>398</v>
      </c>
    </row>
    <row r="393" ht="27" spans="1:33">
      <c r="A393" s="33" t="s">
        <v>652</v>
      </c>
      <c r="B393" s="4" t="s">
        <v>654</v>
      </c>
      <c r="C393" s="4">
        <v>40</v>
      </c>
      <c r="D393" s="4" t="s">
        <v>48</v>
      </c>
      <c r="F393" s="4" t="s">
        <v>82</v>
      </c>
      <c r="G393" s="19"/>
      <c r="H393" s="19">
        <v>45272</v>
      </c>
      <c r="I393" s="19">
        <v>45383</v>
      </c>
      <c r="J393" s="34">
        <f t="shared" si="20"/>
        <v>112</v>
      </c>
      <c r="O393" s="4" t="s">
        <v>50</v>
      </c>
      <c r="P393" s="4"/>
      <c r="Q393" s="4"/>
      <c r="R393" s="4" t="str">
        <f t="shared" si="21"/>
        <v/>
      </c>
      <c r="S393" s="4"/>
      <c r="T393" s="4"/>
      <c r="U393" s="4"/>
      <c r="V393" s="4"/>
      <c r="W393" s="4" t="s">
        <v>51</v>
      </c>
      <c r="X393" s="4" t="s">
        <v>51</v>
      </c>
      <c r="Y393" s="4" t="s">
        <v>343</v>
      </c>
      <c r="Z393" s="4" t="s">
        <v>343</v>
      </c>
      <c r="AA393" s="4" t="s">
        <v>108</v>
      </c>
      <c r="AB393" s="4" t="s">
        <v>123</v>
      </c>
      <c r="AC393" s="4" t="s">
        <v>108</v>
      </c>
      <c r="AD393" s="4" t="s">
        <v>123</v>
      </c>
      <c r="AE393" s="4" t="s">
        <v>108</v>
      </c>
      <c r="AF393" s="4" t="s">
        <v>123</v>
      </c>
      <c r="AG393" s="4" t="s">
        <v>123</v>
      </c>
    </row>
    <row r="394" ht="27" spans="1:33">
      <c r="A394" s="33" t="s">
        <v>652</v>
      </c>
      <c r="B394" s="4" t="s">
        <v>655</v>
      </c>
      <c r="C394" s="4">
        <v>31</v>
      </c>
      <c r="D394" s="4" t="s">
        <v>54</v>
      </c>
      <c r="F394" s="4" t="s">
        <v>49</v>
      </c>
      <c r="G394" s="19">
        <v>45447</v>
      </c>
      <c r="H394" s="19">
        <v>45266</v>
      </c>
      <c r="I394" s="19">
        <v>45534</v>
      </c>
      <c r="J394" s="34">
        <f t="shared" si="20"/>
        <v>269</v>
      </c>
      <c r="O394" s="4" t="s">
        <v>50</v>
      </c>
      <c r="P394" s="4"/>
      <c r="Q394" s="4"/>
      <c r="R394" s="4" t="str">
        <f t="shared" si="21"/>
        <v/>
      </c>
      <c r="S394" s="4"/>
      <c r="T394" s="4"/>
      <c r="U394" s="4"/>
      <c r="V394" s="4"/>
      <c r="W394" s="4" t="s">
        <v>51</v>
      </c>
      <c r="X394" s="4" t="s">
        <v>51</v>
      </c>
      <c r="Y394" s="4" t="s">
        <v>51</v>
      </c>
      <c r="Z394" s="4" t="s">
        <v>51</v>
      </c>
      <c r="AA394" s="4" t="s">
        <v>52</v>
      </c>
      <c r="AB394" s="4" t="s">
        <v>397</v>
      </c>
      <c r="AC394" s="4" t="s">
        <v>52</v>
      </c>
      <c r="AD394" s="4" t="s">
        <v>397</v>
      </c>
      <c r="AE394" s="4" t="s">
        <v>52</v>
      </c>
      <c r="AF394" s="4" t="s">
        <v>397</v>
      </c>
      <c r="AG394" s="4" t="s">
        <v>398</v>
      </c>
    </row>
    <row r="395" ht="27" spans="1:33">
      <c r="A395" s="33" t="s">
        <v>652</v>
      </c>
      <c r="B395" s="4" t="s">
        <v>656</v>
      </c>
      <c r="C395" s="4">
        <v>53</v>
      </c>
      <c r="D395" s="4" t="s">
        <v>48</v>
      </c>
      <c r="F395" s="4" t="s">
        <v>49</v>
      </c>
      <c r="G395" s="19"/>
      <c r="H395" s="19">
        <v>45252</v>
      </c>
      <c r="I395" s="19">
        <v>45459</v>
      </c>
      <c r="J395" s="34">
        <f t="shared" si="20"/>
        <v>208</v>
      </c>
      <c r="O395" s="4" t="s">
        <v>50</v>
      </c>
      <c r="P395" s="4"/>
      <c r="Q395" s="4"/>
      <c r="R395" s="4" t="str">
        <f t="shared" si="21"/>
        <v/>
      </c>
      <c r="S395" s="4"/>
      <c r="T395" s="4"/>
      <c r="U395" s="4"/>
      <c r="V395" s="4"/>
      <c r="W395" s="4" t="s">
        <v>51</v>
      </c>
      <c r="X395" s="4" t="s">
        <v>51</v>
      </c>
      <c r="Y395" s="4" t="s">
        <v>343</v>
      </c>
      <c r="Z395" s="4" t="s">
        <v>343</v>
      </c>
      <c r="AA395" s="4" t="s">
        <v>52</v>
      </c>
      <c r="AB395" s="4" t="s">
        <v>52</v>
      </c>
      <c r="AC395" s="4" t="s">
        <v>657</v>
      </c>
      <c r="AD395" s="4" t="s">
        <v>123</v>
      </c>
      <c r="AE395" s="4" t="s">
        <v>657</v>
      </c>
      <c r="AF395" s="4" t="s">
        <v>123</v>
      </c>
      <c r="AG395" s="4" t="s">
        <v>123</v>
      </c>
    </row>
    <row r="396" ht="27" spans="1:33">
      <c r="A396" s="33" t="s">
        <v>652</v>
      </c>
      <c r="B396" s="4" t="s">
        <v>658</v>
      </c>
      <c r="C396" s="4">
        <v>18</v>
      </c>
      <c r="D396" s="4" t="s">
        <v>48</v>
      </c>
      <c r="F396" s="4" t="s">
        <v>82</v>
      </c>
      <c r="G396" s="19">
        <v>45134</v>
      </c>
      <c r="H396" s="19">
        <v>44958</v>
      </c>
      <c r="I396" s="19">
        <v>45225</v>
      </c>
      <c r="J396" s="34">
        <f t="shared" si="20"/>
        <v>268</v>
      </c>
      <c r="O396" s="4" t="s">
        <v>50</v>
      </c>
      <c r="P396" s="4"/>
      <c r="Q396" s="4"/>
      <c r="R396" s="4" t="str">
        <f t="shared" si="21"/>
        <v/>
      </c>
      <c r="S396" s="4"/>
      <c r="T396" s="4"/>
      <c r="U396" s="4"/>
      <c r="V396" s="4"/>
      <c r="W396" s="4" t="s">
        <v>51</v>
      </c>
      <c r="X396" s="4" t="s">
        <v>51</v>
      </c>
      <c r="Y396" s="4" t="s">
        <v>51</v>
      </c>
      <c r="Z396" s="4" t="s">
        <v>51</v>
      </c>
      <c r="AA396" s="4" t="s">
        <v>52</v>
      </c>
      <c r="AB396" s="4" t="s">
        <v>397</v>
      </c>
      <c r="AC396" s="4" t="s">
        <v>52</v>
      </c>
      <c r="AD396" s="4" t="s">
        <v>397</v>
      </c>
      <c r="AE396" s="4" t="s">
        <v>52</v>
      </c>
      <c r="AF396" s="4" t="s">
        <v>397</v>
      </c>
      <c r="AG396" s="4" t="s">
        <v>398</v>
      </c>
    </row>
    <row r="397" ht="27" spans="1:33">
      <c r="A397" s="33" t="s">
        <v>652</v>
      </c>
      <c r="B397" s="4" t="s">
        <v>659</v>
      </c>
      <c r="C397" s="4">
        <v>64</v>
      </c>
      <c r="D397" s="4" t="s">
        <v>48</v>
      </c>
      <c r="F397" s="4" t="s">
        <v>82</v>
      </c>
      <c r="G397" s="19"/>
      <c r="H397" s="19">
        <v>45112</v>
      </c>
      <c r="I397" s="19">
        <v>45656</v>
      </c>
      <c r="J397" s="34">
        <f t="shared" si="20"/>
        <v>545</v>
      </c>
      <c r="O397" s="4" t="s">
        <v>50</v>
      </c>
      <c r="P397" s="4"/>
      <c r="Q397" s="4"/>
      <c r="R397" s="4" t="str">
        <f t="shared" si="21"/>
        <v/>
      </c>
      <c r="S397" s="4"/>
      <c r="T397" s="4"/>
      <c r="U397" s="4"/>
      <c r="V397" s="4"/>
      <c r="W397" s="4" t="s">
        <v>51</v>
      </c>
      <c r="X397" s="4" t="s">
        <v>51</v>
      </c>
      <c r="Y397" s="4" t="s">
        <v>51</v>
      </c>
      <c r="Z397" s="4" t="s">
        <v>51</v>
      </c>
      <c r="AA397" s="4" t="s">
        <v>52</v>
      </c>
      <c r="AB397" s="4" t="s">
        <v>397</v>
      </c>
      <c r="AC397" s="4" t="s">
        <v>52</v>
      </c>
      <c r="AD397" s="4" t="s">
        <v>397</v>
      </c>
      <c r="AE397" s="4" t="s">
        <v>52</v>
      </c>
      <c r="AF397" s="4" t="s">
        <v>397</v>
      </c>
      <c r="AG397" s="4" t="s">
        <v>398</v>
      </c>
    </row>
    <row r="398" ht="27" spans="1:33">
      <c r="A398" s="33" t="s">
        <v>652</v>
      </c>
      <c r="B398" s="4" t="s">
        <v>660</v>
      </c>
      <c r="C398" s="4">
        <v>45</v>
      </c>
      <c r="D398" s="4" t="s">
        <v>48</v>
      </c>
      <c r="F398" s="4" t="s">
        <v>82</v>
      </c>
      <c r="G398" s="19">
        <v>45296</v>
      </c>
      <c r="H398" s="19">
        <v>45111</v>
      </c>
      <c r="I398" s="19">
        <v>45387</v>
      </c>
      <c r="J398" s="34">
        <f t="shared" si="20"/>
        <v>277</v>
      </c>
      <c r="O398" s="4" t="s">
        <v>50</v>
      </c>
      <c r="P398" s="4"/>
      <c r="Q398" s="4"/>
      <c r="R398" s="4" t="str">
        <f t="shared" si="21"/>
        <v/>
      </c>
      <c r="S398" s="4"/>
      <c r="T398" s="4"/>
      <c r="U398" s="4"/>
      <c r="V398" s="4"/>
      <c r="W398" s="4" t="s">
        <v>51</v>
      </c>
      <c r="X398" s="4" t="s">
        <v>418</v>
      </c>
      <c r="Y398" s="4" t="s">
        <v>51</v>
      </c>
      <c r="Z398" s="4" t="s">
        <v>51</v>
      </c>
      <c r="AA398" s="4" t="s">
        <v>52</v>
      </c>
      <c r="AB398" s="4" t="s">
        <v>397</v>
      </c>
      <c r="AC398" s="4" t="s">
        <v>52</v>
      </c>
      <c r="AD398" s="4" t="s">
        <v>397</v>
      </c>
      <c r="AE398" s="4" t="s">
        <v>52</v>
      </c>
      <c r="AF398" s="4" t="s">
        <v>397</v>
      </c>
      <c r="AG398" s="4" t="s">
        <v>398</v>
      </c>
    </row>
    <row r="399" ht="27" spans="1:33">
      <c r="A399" s="33" t="s">
        <v>652</v>
      </c>
      <c r="B399" s="4" t="s">
        <v>661</v>
      </c>
      <c r="C399" s="4">
        <v>57</v>
      </c>
      <c r="D399" s="4" t="s">
        <v>48</v>
      </c>
      <c r="F399" s="4" t="s">
        <v>49</v>
      </c>
      <c r="G399" s="19"/>
      <c r="H399" s="19">
        <v>45084</v>
      </c>
      <c r="I399" s="19">
        <v>45299</v>
      </c>
      <c r="J399" s="34">
        <f t="shared" si="20"/>
        <v>216</v>
      </c>
      <c r="O399" s="4" t="s">
        <v>51</v>
      </c>
      <c r="P399" s="4"/>
      <c r="Q399" s="4"/>
      <c r="R399" s="4" t="str">
        <f t="shared" si="21"/>
        <v/>
      </c>
      <c r="S399" s="4"/>
      <c r="T399" s="4"/>
      <c r="U399" s="4"/>
      <c r="V399" s="4"/>
      <c r="W399" s="4" t="s">
        <v>51</v>
      </c>
      <c r="X399" s="4" t="s">
        <v>51</v>
      </c>
      <c r="Y399" s="4" t="s">
        <v>343</v>
      </c>
      <c r="Z399" s="4" t="s">
        <v>343</v>
      </c>
      <c r="AA399" s="4" t="s">
        <v>657</v>
      </c>
      <c r="AB399" s="4" t="s">
        <v>123</v>
      </c>
      <c r="AC399" s="4" t="s">
        <v>657</v>
      </c>
      <c r="AD399" s="4" t="s">
        <v>123</v>
      </c>
      <c r="AE399" s="4" t="s">
        <v>657</v>
      </c>
      <c r="AF399" s="4" t="s">
        <v>123</v>
      </c>
      <c r="AG399" s="4" t="s">
        <v>123</v>
      </c>
    </row>
    <row r="400" ht="27" spans="1:33">
      <c r="A400" s="33" t="s">
        <v>652</v>
      </c>
      <c r="B400" s="4" t="s">
        <v>662</v>
      </c>
      <c r="C400" s="4">
        <v>39</v>
      </c>
      <c r="D400" s="4" t="s">
        <v>54</v>
      </c>
      <c r="F400" s="4" t="s">
        <v>49</v>
      </c>
      <c r="G400" s="19">
        <v>45252</v>
      </c>
      <c r="H400" s="19">
        <v>45084</v>
      </c>
      <c r="I400" s="19">
        <v>45278</v>
      </c>
      <c r="J400" s="34">
        <f t="shared" si="20"/>
        <v>195</v>
      </c>
      <c r="O400" s="4" t="s">
        <v>50</v>
      </c>
      <c r="P400" s="4"/>
      <c r="Q400" s="4"/>
      <c r="R400" s="4" t="str">
        <f t="shared" si="21"/>
        <v/>
      </c>
      <c r="S400" s="4"/>
      <c r="T400" s="4"/>
      <c r="U400" s="4"/>
      <c r="V400" s="4"/>
      <c r="W400" s="4" t="s">
        <v>51</v>
      </c>
      <c r="X400" s="4" t="s">
        <v>51</v>
      </c>
      <c r="Y400" s="4" t="s">
        <v>51</v>
      </c>
      <c r="Z400" s="4" t="s">
        <v>51</v>
      </c>
      <c r="AA400" s="4" t="s">
        <v>52</v>
      </c>
      <c r="AB400" s="4" t="s">
        <v>397</v>
      </c>
      <c r="AC400" s="4" t="s">
        <v>52</v>
      </c>
      <c r="AD400" s="4" t="s">
        <v>397</v>
      </c>
      <c r="AE400" s="4" t="s">
        <v>52</v>
      </c>
      <c r="AF400" s="4" t="s">
        <v>397</v>
      </c>
      <c r="AG400" s="4" t="s">
        <v>398</v>
      </c>
    </row>
    <row r="401" ht="27" spans="1:33">
      <c r="A401" s="33" t="s">
        <v>652</v>
      </c>
      <c r="B401" s="4" t="s">
        <v>663</v>
      </c>
      <c r="C401" s="4">
        <v>44</v>
      </c>
      <c r="D401" s="4" t="s">
        <v>48</v>
      </c>
      <c r="F401" s="4" t="s">
        <v>49</v>
      </c>
      <c r="G401" s="19">
        <v>45238</v>
      </c>
      <c r="H401" s="19">
        <v>45052</v>
      </c>
      <c r="I401" s="19">
        <v>45330</v>
      </c>
      <c r="J401" s="34">
        <f t="shared" si="20"/>
        <v>279</v>
      </c>
      <c r="O401" s="4" t="s">
        <v>50</v>
      </c>
      <c r="P401" s="4"/>
      <c r="Q401" s="4"/>
      <c r="R401" s="4" t="str">
        <f t="shared" si="21"/>
        <v/>
      </c>
      <c r="S401" s="4"/>
      <c r="T401" s="4"/>
      <c r="U401" s="4"/>
      <c r="V401" s="4"/>
      <c r="W401" s="4" t="s">
        <v>51</v>
      </c>
      <c r="X401" s="4" t="s">
        <v>51</v>
      </c>
      <c r="Y401" s="4" t="s">
        <v>51</v>
      </c>
      <c r="Z401" s="4" t="s">
        <v>51</v>
      </c>
      <c r="AA401" s="4" t="s">
        <v>52</v>
      </c>
      <c r="AB401" s="4" t="s">
        <v>397</v>
      </c>
      <c r="AC401" s="4" t="s">
        <v>52</v>
      </c>
      <c r="AD401" s="4" t="s">
        <v>397</v>
      </c>
      <c r="AE401" s="4" t="s">
        <v>52</v>
      </c>
      <c r="AF401" s="4" t="s">
        <v>397</v>
      </c>
      <c r="AG401" s="4" t="s">
        <v>398</v>
      </c>
    </row>
    <row r="402" ht="27" spans="1:33">
      <c r="A402" s="33" t="s">
        <v>652</v>
      </c>
      <c r="B402" s="4" t="s">
        <v>664</v>
      </c>
      <c r="C402" s="4">
        <v>49</v>
      </c>
      <c r="D402" s="4" t="s">
        <v>48</v>
      </c>
      <c r="F402" s="4" t="s">
        <v>82</v>
      </c>
      <c r="G402" s="19">
        <v>45215</v>
      </c>
      <c r="H402" s="19">
        <v>45031</v>
      </c>
      <c r="I402" s="19">
        <v>45215</v>
      </c>
      <c r="J402" s="34">
        <f t="shared" si="20"/>
        <v>185</v>
      </c>
      <c r="O402" s="4" t="s">
        <v>50</v>
      </c>
      <c r="P402" s="4"/>
      <c r="Q402" s="4"/>
      <c r="R402" s="4" t="str">
        <f t="shared" si="21"/>
        <v/>
      </c>
      <c r="S402" s="4"/>
      <c r="T402" s="4"/>
      <c r="U402" s="4"/>
      <c r="V402" s="4"/>
      <c r="W402" s="4" t="s">
        <v>51</v>
      </c>
      <c r="X402" s="4" t="s">
        <v>51</v>
      </c>
      <c r="Y402" s="4" t="s">
        <v>51</v>
      </c>
      <c r="Z402" s="4" t="s">
        <v>343</v>
      </c>
      <c r="AA402" s="4" t="s">
        <v>52</v>
      </c>
      <c r="AB402" s="4" t="s">
        <v>397</v>
      </c>
      <c r="AC402" s="4" t="s">
        <v>52</v>
      </c>
      <c r="AD402" s="4" t="s">
        <v>397</v>
      </c>
      <c r="AE402" s="4" t="s">
        <v>657</v>
      </c>
      <c r="AF402" s="4" t="s">
        <v>397</v>
      </c>
      <c r="AG402" s="4" t="s">
        <v>398</v>
      </c>
    </row>
    <row r="403" ht="27" spans="1:33">
      <c r="A403" s="33" t="s">
        <v>652</v>
      </c>
      <c r="B403" s="4" t="s">
        <v>665</v>
      </c>
      <c r="C403" s="4">
        <v>41</v>
      </c>
      <c r="D403" s="4" t="s">
        <v>48</v>
      </c>
      <c r="F403" s="4" t="s">
        <v>82</v>
      </c>
      <c r="G403" s="19"/>
      <c r="H403" s="19">
        <v>45062</v>
      </c>
      <c r="I403" s="19">
        <v>45084</v>
      </c>
      <c r="J403" s="34">
        <f t="shared" si="20"/>
        <v>23</v>
      </c>
      <c r="O403" s="4" t="s">
        <v>50</v>
      </c>
      <c r="P403" s="4"/>
      <c r="Q403" s="4"/>
      <c r="R403" s="4" t="str">
        <f t="shared" si="21"/>
        <v/>
      </c>
      <c r="S403" s="4"/>
      <c r="T403" s="4"/>
      <c r="U403" s="4"/>
      <c r="V403" s="4"/>
      <c r="W403" s="4" t="s">
        <v>343</v>
      </c>
      <c r="X403" s="4" t="s">
        <v>343</v>
      </c>
      <c r="Y403" s="4" t="s">
        <v>343</v>
      </c>
      <c r="Z403" s="4" t="s">
        <v>343</v>
      </c>
      <c r="AA403" s="4" t="s">
        <v>657</v>
      </c>
      <c r="AB403" s="4" t="s">
        <v>123</v>
      </c>
      <c r="AC403" s="4" t="s">
        <v>657</v>
      </c>
      <c r="AD403" s="4" t="s">
        <v>123</v>
      </c>
      <c r="AE403" s="4" t="s">
        <v>657</v>
      </c>
      <c r="AF403" s="4" t="s">
        <v>123</v>
      </c>
      <c r="AG403" s="4" t="s">
        <v>123</v>
      </c>
    </row>
    <row r="404" ht="27" spans="1:33">
      <c r="A404" s="33" t="s">
        <v>652</v>
      </c>
      <c r="B404" s="4" t="s">
        <v>666</v>
      </c>
      <c r="C404" s="4">
        <v>33</v>
      </c>
      <c r="D404" s="4" t="s">
        <v>48</v>
      </c>
      <c r="F404" s="4" t="s">
        <v>82</v>
      </c>
      <c r="G404" s="19">
        <v>45166</v>
      </c>
      <c r="H404" s="19">
        <v>45057</v>
      </c>
      <c r="I404" s="19">
        <v>45250</v>
      </c>
      <c r="J404" s="34">
        <f t="shared" si="20"/>
        <v>194</v>
      </c>
      <c r="O404" s="4" t="s">
        <v>50</v>
      </c>
      <c r="P404" s="4"/>
      <c r="Q404" s="4"/>
      <c r="R404" s="4" t="str">
        <f t="shared" si="21"/>
        <v/>
      </c>
      <c r="S404" s="4"/>
      <c r="T404" s="4"/>
      <c r="U404" s="4"/>
      <c r="V404" s="4"/>
      <c r="W404" s="4" t="s">
        <v>51</v>
      </c>
      <c r="X404" s="4" t="s">
        <v>343</v>
      </c>
      <c r="Y404" s="4" t="s">
        <v>50</v>
      </c>
      <c r="Z404" s="4" t="s">
        <v>51</v>
      </c>
      <c r="AA404" s="4" t="s">
        <v>657</v>
      </c>
      <c r="AB404" s="4" t="s">
        <v>123</v>
      </c>
      <c r="AC404" s="4" t="s">
        <v>108</v>
      </c>
      <c r="AD404" s="4" t="s">
        <v>214</v>
      </c>
      <c r="AE404" s="4" t="s">
        <v>108</v>
      </c>
      <c r="AF404" s="4" t="s">
        <v>214</v>
      </c>
      <c r="AG404" s="4" t="s">
        <v>214</v>
      </c>
    </row>
    <row r="405" ht="27" spans="1:33">
      <c r="A405" s="33" t="s">
        <v>652</v>
      </c>
      <c r="B405" s="4" t="s">
        <v>667</v>
      </c>
      <c r="C405" s="4">
        <v>60</v>
      </c>
      <c r="D405" s="4" t="s">
        <v>48</v>
      </c>
      <c r="F405" s="4" t="s">
        <v>64</v>
      </c>
      <c r="G405" s="19"/>
      <c r="H405" s="19">
        <v>44966</v>
      </c>
      <c r="I405" s="19">
        <v>45107</v>
      </c>
      <c r="J405" s="34">
        <f t="shared" si="20"/>
        <v>142</v>
      </c>
      <c r="O405" s="4" t="s">
        <v>50</v>
      </c>
      <c r="P405" s="4"/>
      <c r="Q405" s="4"/>
      <c r="R405" s="4" t="str">
        <f t="shared" si="21"/>
        <v/>
      </c>
      <c r="S405" s="4"/>
      <c r="T405" s="4"/>
      <c r="U405" s="4"/>
      <c r="V405" s="4"/>
      <c r="W405" s="4" t="s">
        <v>343</v>
      </c>
      <c r="X405" s="4" t="s">
        <v>50</v>
      </c>
      <c r="Y405" s="4" t="s">
        <v>343</v>
      </c>
      <c r="Z405" s="4" t="s">
        <v>343</v>
      </c>
      <c r="AA405" s="4" t="s">
        <v>657</v>
      </c>
      <c r="AB405" s="4" t="s">
        <v>123</v>
      </c>
      <c r="AC405" s="4" t="s">
        <v>108</v>
      </c>
      <c r="AD405" s="4" t="s">
        <v>123</v>
      </c>
      <c r="AE405" s="4" t="s">
        <v>108</v>
      </c>
      <c r="AF405" s="4" t="s">
        <v>123</v>
      </c>
      <c r="AG405" s="4" t="s">
        <v>123</v>
      </c>
    </row>
    <row r="406" ht="27" spans="1:33">
      <c r="A406" s="33" t="s">
        <v>652</v>
      </c>
      <c r="B406" s="4" t="s">
        <v>668</v>
      </c>
      <c r="C406" s="4">
        <v>31</v>
      </c>
      <c r="D406" s="4" t="s">
        <v>54</v>
      </c>
      <c r="F406" s="4" t="s">
        <v>49</v>
      </c>
      <c r="G406" s="19">
        <v>45106</v>
      </c>
      <c r="H406" s="19">
        <v>44942</v>
      </c>
      <c r="I406" s="19">
        <v>45221</v>
      </c>
      <c r="J406" s="34">
        <f t="shared" si="20"/>
        <v>280</v>
      </c>
      <c r="O406" s="4" t="s">
        <v>50</v>
      </c>
      <c r="P406" s="4"/>
      <c r="Q406" s="4"/>
      <c r="R406" s="4" t="str">
        <f t="shared" si="21"/>
        <v/>
      </c>
      <c r="S406" s="4"/>
      <c r="T406" s="4"/>
      <c r="U406" s="4"/>
      <c r="V406" s="4"/>
      <c r="W406" s="4" t="s">
        <v>51</v>
      </c>
      <c r="X406" s="4" t="s">
        <v>51</v>
      </c>
      <c r="Y406" s="4" t="s">
        <v>343</v>
      </c>
      <c r="Z406" s="4" t="s">
        <v>343</v>
      </c>
      <c r="AA406" s="4" t="s">
        <v>52</v>
      </c>
      <c r="AB406" s="4" t="s">
        <v>397</v>
      </c>
      <c r="AC406" s="4" t="s">
        <v>657</v>
      </c>
      <c r="AD406" s="4" t="s">
        <v>123</v>
      </c>
      <c r="AE406" s="4" t="s">
        <v>657</v>
      </c>
      <c r="AF406" s="4" t="s">
        <v>123</v>
      </c>
      <c r="AG406" s="4" t="s">
        <v>123</v>
      </c>
    </row>
    <row r="407" ht="27" spans="1:33">
      <c r="A407" s="33" t="s">
        <v>652</v>
      </c>
      <c r="B407" s="4" t="s">
        <v>669</v>
      </c>
      <c r="C407" s="4">
        <v>59</v>
      </c>
      <c r="D407" s="4" t="s">
        <v>48</v>
      </c>
      <c r="F407" s="4" t="s">
        <v>49</v>
      </c>
      <c r="G407" s="19">
        <v>45174</v>
      </c>
      <c r="H407" s="19">
        <v>45002</v>
      </c>
      <c r="I407" s="19">
        <v>45266</v>
      </c>
      <c r="J407" s="34">
        <f t="shared" si="20"/>
        <v>265</v>
      </c>
      <c r="O407" s="4" t="s">
        <v>50</v>
      </c>
      <c r="P407" s="4"/>
      <c r="Q407" s="4"/>
      <c r="R407" s="4" t="str">
        <f t="shared" si="21"/>
        <v/>
      </c>
      <c r="S407" s="4"/>
      <c r="T407" s="4"/>
      <c r="U407" s="4"/>
      <c r="V407" s="4"/>
      <c r="W407" s="4" t="s">
        <v>51</v>
      </c>
      <c r="X407" s="4" t="s">
        <v>51</v>
      </c>
      <c r="Y407" s="4" t="s">
        <v>51</v>
      </c>
      <c r="Z407" s="4" t="s">
        <v>51</v>
      </c>
      <c r="AA407" s="4" t="s">
        <v>52</v>
      </c>
      <c r="AB407" s="4" t="s">
        <v>397</v>
      </c>
      <c r="AC407" s="4" t="s">
        <v>52</v>
      </c>
      <c r="AD407" s="4" t="s">
        <v>397</v>
      </c>
      <c r="AE407" s="4" t="s">
        <v>52</v>
      </c>
      <c r="AF407" s="4" t="s">
        <v>397</v>
      </c>
      <c r="AG407" s="4" t="s">
        <v>398</v>
      </c>
    </row>
    <row r="408" ht="27" spans="1:33">
      <c r="A408" s="33" t="s">
        <v>652</v>
      </c>
      <c r="B408" s="4" t="s">
        <v>670</v>
      </c>
      <c r="C408" s="4">
        <v>30</v>
      </c>
      <c r="D408" s="4" t="s">
        <v>48</v>
      </c>
      <c r="F408" s="4" t="s">
        <v>82</v>
      </c>
      <c r="G408" s="19"/>
      <c r="H408" s="19">
        <v>45012</v>
      </c>
      <c r="I408" s="19">
        <v>45200</v>
      </c>
      <c r="J408" s="34">
        <f t="shared" si="20"/>
        <v>189</v>
      </c>
      <c r="O408" s="4" t="s">
        <v>50</v>
      </c>
      <c r="P408" s="4"/>
      <c r="Q408" s="4"/>
      <c r="R408" s="4" t="str">
        <f t="shared" si="21"/>
        <v/>
      </c>
      <c r="S408" s="4"/>
      <c r="T408" s="4"/>
      <c r="U408" s="4"/>
      <c r="V408" s="4"/>
      <c r="W408" s="4" t="s">
        <v>51</v>
      </c>
      <c r="X408" s="4" t="s">
        <v>51</v>
      </c>
      <c r="Y408" s="4" t="s">
        <v>343</v>
      </c>
      <c r="Z408" s="4" t="s">
        <v>343</v>
      </c>
      <c r="AA408" s="4" t="s">
        <v>52</v>
      </c>
      <c r="AB408" s="4" t="s">
        <v>397</v>
      </c>
      <c r="AC408" s="4" t="s">
        <v>657</v>
      </c>
      <c r="AD408" s="4" t="s">
        <v>123</v>
      </c>
      <c r="AE408" s="4" t="s">
        <v>657</v>
      </c>
      <c r="AF408" s="4" t="s">
        <v>123</v>
      </c>
      <c r="AG408" s="4" t="s">
        <v>123</v>
      </c>
    </row>
    <row r="409" ht="27" spans="1:33">
      <c r="A409" s="33" t="s">
        <v>652</v>
      </c>
      <c r="B409" s="4" t="s">
        <v>671</v>
      </c>
      <c r="C409" s="4">
        <v>54</v>
      </c>
      <c r="D409" s="4" t="s">
        <v>48</v>
      </c>
      <c r="F409" s="4" t="s">
        <v>82</v>
      </c>
      <c r="G409" s="19">
        <v>45177</v>
      </c>
      <c r="H409" s="19">
        <v>44993</v>
      </c>
      <c r="I409" s="19">
        <v>45268</v>
      </c>
      <c r="J409" s="34">
        <f t="shared" si="20"/>
        <v>276</v>
      </c>
      <c r="O409" s="4" t="s">
        <v>50</v>
      </c>
      <c r="P409" s="4"/>
      <c r="Q409" s="4"/>
      <c r="R409" s="4" t="str">
        <f t="shared" si="21"/>
        <v/>
      </c>
      <c r="S409" s="4"/>
      <c r="T409" s="4"/>
      <c r="U409" s="4"/>
      <c r="V409" s="4"/>
      <c r="W409" s="4" t="s">
        <v>51</v>
      </c>
      <c r="X409" s="4" t="s">
        <v>51</v>
      </c>
      <c r="Y409" s="4" t="s">
        <v>51</v>
      </c>
      <c r="Z409" s="4" t="s">
        <v>343</v>
      </c>
      <c r="AA409" s="4" t="s">
        <v>52</v>
      </c>
      <c r="AB409" s="4" t="s">
        <v>397</v>
      </c>
      <c r="AC409" s="4" t="s">
        <v>52</v>
      </c>
      <c r="AD409" s="4" t="s">
        <v>397</v>
      </c>
      <c r="AE409" s="4" t="s">
        <v>657</v>
      </c>
      <c r="AF409" s="4" t="s">
        <v>123</v>
      </c>
      <c r="AG409" s="4" t="s">
        <v>398</v>
      </c>
    </row>
    <row r="410" ht="27" spans="1:33">
      <c r="A410" s="33" t="s">
        <v>652</v>
      </c>
      <c r="B410" s="4" t="s">
        <v>672</v>
      </c>
      <c r="C410" s="4">
        <v>53</v>
      </c>
      <c r="D410" s="4" t="s">
        <v>48</v>
      </c>
      <c r="F410" s="4" t="s">
        <v>82</v>
      </c>
      <c r="G410" s="19"/>
      <c r="H410" s="19">
        <v>44992</v>
      </c>
      <c r="I410" s="19">
        <v>45656</v>
      </c>
      <c r="J410" s="34">
        <f t="shared" si="20"/>
        <v>665</v>
      </c>
      <c r="O410" s="4" t="s">
        <v>50</v>
      </c>
      <c r="P410" s="4"/>
      <c r="Q410" s="4"/>
      <c r="R410" s="4" t="str">
        <f t="shared" si="21"/>
        <v/>
      </c>
      <c r="S410" s="4"/>
      <c r="T410" s="4"/>
      <c r="U410" s="4"/>
      <c r="V410" s="4"/>
      <c r="W410" s="4" t="s">
        <v>51</v>
      </c>
      <c r="X410" s="4" t="s">
        <v>51</v>
      </c>
      <c r="Y410" s="4" t="s">
        <v>343</v>
      </c>
      <c r="Z410" s="4" t="s">
        <v>343</v>
      </c>
      <c r="AA410" s="4" t="s">
        <v>52</v>
      </c>
      <c r="AB410" s="4" t="s">
        <v>397</v>
      </c>
      <c r="AC410" s="4" t="s">
        <v>657</v>
      </c>
      <c r="AD410" s="4" t="s">
        <v>123</v>
      </c>
      <c r="AE410" s="4" t="s">
        <v>657</v>
      </c>
      <c r="AF410" s="4" t="s">
        <v>123</v>
      </c>
      <c r="AG410" s="4" t="s">
        <v>123</v>
      </c>
    </row>
    <row r="411" ht="27" spans="1:33">
      <c r="A411" s="33" t="s">
        <v>652</v>
      </c>
      <c r="B411" s="4" t="s">
        <v>673</v>
      </c>
      <c r="C411" s="4">
        <v>24</v>
      </c>
      <c r="D411" s="4" t="s">
        <v>48</v>
      </c>
      <c r="F411" s="4" t="s">
        <v>82</v>
      </c>
      <c r="G411" s="19"/>
      <c r="H411" s="19">
        <v>44994</v>
      </c>
      <c r="I411" s="19">
        <v>45082</v>
      </c>
      <c r="J411" s="34">
        <f t="shared" si="20"/>
        <v>89</v>
      </c>
      <c r="O411" s="4" t="s">
        <v>51</v>
      </c>
      <c r="P411" s="4"/>
      <c r="Q411" s="4"/>
      <c r="R411" s="4" t="str">
        <f t="shared" si="21"/>
        <v/>
      </c>
      <c r="S411" s="4"/>
      <c r="T411" s="4"/>
      <c r="U411" s="4"/>
      <c r="V411" s="4"/>
      <c r="W411" s="4" t="s">
        <v>51</v>
      </c>
      <c r="X411" s="4" t="s">
        <v>51</v>
      </c>
      <c r="Y411" s="4" t="s">
        <v>343</v>
      </c>
      <c r="Z411" s="4" t="s">
        <v>343</v>
      </c>
      <c r="AA411" s="4" t="s">
        <v>657</v>
      </c>
      <c r="AB411" s="4" t="s">
        <v>123</v>
      </c>
      <c r="AC411" s="4" t="s">
        <v>657</v>
      </c>
      <c r="AD411" s="4" t="s">
        <v>123</v>
      </c>
      <c r="AE411" s="4" t="s">
        <v>657</v>
      </c>
      <c r="AF411" s="4" t="s">
        <v>123</v>
      </c>
      <c r="AG411" s="4" t="s">
        <v>123</v>
      </c>
    </row>
    <row r="412" ht="27" spans="1:33">
      <c r="A412" s="33" t="s">
        <v>652</v>
      </c>
      <c r="B412" s="4" t="s">
        <v>674</v>
      </c>
      <c r="C412" s="4">
        <v>34</v>
      </c>
      <c r="D412" s="4" t="s">
        <v>54</v>
      </c>
      <c r="F412" s="4" t="s">
        <v>49</v>
      </c>
      <c r="G412" s="19">
        <v>45172</v>
      </c>
      <c r="H412" s="19">
        <v>44991</v>
      </c>
      <c r="I412" s="19">
        <v>45170</v>
      </c>
      <c r="J412" s="34">
        <f t="shared" si="20"/>
        <v>180</v>
      </c>
      <c r="O412" s="4" t="s">
        <v>50</v>
      </c>
      <c r="P412" s="4"/>
      <c r="Q412" s="4"/>
      <c r="R412" s="4" t="str">
        <f t="shared" si="21"/>
        <v/>
      </c>
      <c r="S412" s="4"/>
      <c r="T412" s="4"/>
      <c r="U412" s="4"/>
      <c r="V412" s="4"/>
      <c r="W412" s="4" t="s">
        <v>51</v>
      </c>
      <c r="X412" s="4" t="s">
        <v>51</v>
      </c>
      <c r="Y412" s="4" t="s">
        <v>51</v>
      </c>
      <c r="Z412" s="4" t="s">
        <v>51</v>
      </c>
      <c r="AA412" s="4" t="s">
        <v>52</v>
      </c>
      <c r="AB412" s="4" t="s">
        <v>397</v>
      </c>
      <c r="AC412" s="4" t="s">
        <v>52</v>
      </c>
      <c r="AD412" s="4" t="s">
        <v>397</v>
      </c>
      <c r="AE412" s="4" t="s">
        <v>52</v>
      </c>
      <c r="AF412" s="4" t="s">
        <v>397</v>
      </c>
      <c r="AG412" s="4" t="s">
        <v>398</v>
      </c>
    </row>
    <row r="413" ht="27" spans="1:33">
      <c r="A413" s="33" t="s">
        <v>652</v>
      </c>
      <c r="B413" s="4" t="s">
        <v>675</v>
      </c>
      <c r="C413" s="4">
        <v>23</v>
      </c>
      <c r="D413" s="4" t="s">
        <v>48</v>
      </c>
      <c r="F413" s="4" t="s">
        <v>64</v>
      </c>
      <c r="G413" s="19"/>
      <c r="H413" s="19">
        <v>44986</v>
      </c>
      <c r="I413" s="19">
        <v>45126</v>
      </c>
      <c r="J413" s="34">
        <f t="shared" si="20"/>
        <v>141</v>
      </c>
      <c r="O413" s="4" t="s">
        <v>51</v>
      </c>
      <c r="P413" s="4"/>
      <c r="Q413" s="4"/>
      <c r="R413" s="4" t="str">
        <f t="shared" si="21"/>
        <v/>
      </c>
      <c r="S413" s="4"/>
      <c r="T413" s="4"/>
      <c r="U413" s="4"/>
      <c r="V413" s="4"/>
      <c r="W413" s="4" t="s">
        <v>51</v>
      </c>
      <c r="X413" s="4" t="s">
        <v>51</v>
      </c>
      <c r="Y413" s="4" t="s">
        <v>343</v>
      </c>
      <c r="Z413" s="4" t="s">
        <v>343</v>
      </c>
      <c r="AA413" s="4" t="s">
        <v>657</v>
      </c>
      <c r="AB413" s="4" t="s">
        <v>123</v>
      </c>
      <c r="AC413" s="4" t="s">
        <v>657</v>
      </c>
      <c r="AD413" s="4" t="s">
        <v>123</v>
      </c>
      <c r="AE413" s="4" t="s">
        <v>657</v>
      </c>
      <c r="AF413" s="4" t="s">
        <v>123</v>
      </c>
      <c r="AG413" s="4" t="s">
        <v>123</v>
      </c>
    </row>
    <row r="414" ht="27" spans="1:33">
      <c r="A414" s="33" t="s">
        <v>652</v>
      </c>
      <c r="B414" s="4" t="s">
        <v>676</v>
      </c>
      <c r="C414" s="4">
        <v>36</v>
      </c>
      <c r="D414" s="4" t="s">
        <v>48</v>
      </c>
      <c r="F414" s="4" t="s">
        <v>82</v>
      </c>
      <c r="G414" s="19">
        <v>45210</v>
      </c>
      <c r="H414" s="19">
        <v>44995</v>
      </c>
      <c r="I414" s="19">
        <v>45220</v>
      </c>
      <c r="J414" s="34">
        <f t="shared" si="20"/>
        <v>226</v>
      </c>
      <c r="O414" s="4" t="s">
        <v>50</v>
      </c>
      <c r="P414" s="4"/>
      <c r="Q414" s="4"/>
      <c r="R414" s="4" t="str">
        <f t="shared" si="21"/>
        <v/>
      </c>
      <c r="S414" s="4"/>
      <c r="T414" s="4"/>
      <c r="U414" s="4"/>
      <c r="V414" s="4"/>
      <c r="W414" s="4" t="s">
        <v>51</v>
      </c>
      <c r="X414" s="4" t="s">
        <v>418</v>
      </c>
      <c r="Y414" s="4" t="s">
        <v>418</v>
      </c>
      <c r="Z414" s="4" t="s">
        <v>51</v>
      </c>
      <c r="AA414" s="4" t="s">
        <v>52</v>
      </c>
      <c r="AB414" s="4" t="s">
        <v>397</v>
      </c>
      <c r="AC414" s="4" t="s">
        <v>52</v>
      </c>
      <c r="AD414" s="4" t="s">
        <v>397</v>
      </c>
      <c r="AE414" s="4" t="s">
        <v>52</v>
      </c>
      <c r="AF414" s="4" t="s">
        <v>397</v>
      </c>
      <c r="AG414" s="4" t="s">
        <v>398</v>
      </c>
    </row>
    <row r="415" ht="27" spans="1:33">
      <c r="A415" s="33" t="s">
        <v>652</v>
      </c>
      <c r="B415" s="4" t="s">
        <v>677</v>
      </c>
      <c r="C415" s="4">
        <v>64</v>
      </c>
      <c r="D415" s="4" t="s">
        <v>48</v>
      </c>
      <c r="F415" s="4" t="s">
        <v>49</v>
      </c>
      <c r="G415" s="19">
        <v>45159</v>
      </c>
      <c r="H415" s="19">
        <v>44966</v>
      </c>
      <c r="I415" s="19">
        <v>45143</v>
      </c>
      <c r="J415" s="34">
        <f t="shared" si="20"/>
        <v>178</v>
      </c>
      <c r="O415" s="4" t="s">
        <v>50</v>
      </c>
      <c r="P415" s="4"/>
      <c r="Q415" s="4"/>
      <c r="R415" s="4" t="str">
        <f t="shared" si="21"/>
        <v/>
      </c>
      <c r="S415" s="4"/>
      <c r="T415" s="4"/>
      <c r="U415" s="4"/>
      <c r="V415" s="4"/>
      <c r="W415" s="4" t="s">
        <v>51</v>
      </c>
      <c r="X415" s="4" t="s">
        <v>51</v>
      </c>
      <c r="Y415" s="4" t="s">
        <v>343</v>
      </c>
      <c r="Z415" s="4" t="s">
        <v>343</v>
      </c>
      <c r="AA415" s="4" t="s">
        <v>52</v>
      </c>
      <c r="AB415" s="4" t="s">
        <v>397</v>
      </c>
      <c r="AC415" s="4" t="s">
        <v>657</v>
      </c>
      <c r="AD415" s="4" t="s">
        <v>123</v>
      </c>
      <c r="AE415" s="4" t="s">
        <v>657</v>
      </c>
      <c r="AF415" s="4" t="s">
        <v>123</v>
      </c>
      <c r="AG415" s="4" t="s">
        <v>123</v>
      </c>
    </row>
    <row r="416" ht="27" spans="1:33">
      <c r="A416" s="33" t="s">
        <v>652</v>
      </c>
      <c r="B416" s="4" t="s">
        <v>678</v>
      </c>
      <c r="C416" s="4">
        <v>36</v>
      </c>
      <c r="D416" s="4" t="s">
        <v>48</v>
      </c>
      <c r="F416" s="4" t="s">
        <v>49</v>
      </c>
      <c r="G416" s="19"/>
      <c r="H416" s="19">
        <v>44525</v>
      </c>
      <c r="I416" s="19">
        <v>44848</v>
      </c>
      <c r="J416" s="34">
        <f t="shared" si="20"/>
        <v>324</v>
      </c>
      <c r="O416" s="4" t="s">
        <v>50</v>
      </c>
      <c r="P416" s="4"/>
      <c r="Q416" s="4"/>
      <c r="R416" s="4" t="str">
        <f t="shared" si="21"/>
        <v/>
      </c>
      <c r="S416" s="4"/>
      <c r="T416" s="4"/>
      <c r="U416" s="4"/>
      <c r="V416" s="4"/>
      <c r="W416" s="4" t="s">
        <v>51</v>
      </c>
      <c r="X416" s="4" t="s">
        <v>51</v>
      </c>
      <c r="Y416" s="4" t="s">
        <v>51</v>
      </c>
      <c r="Z416" s="4" t="s">
        <v>343</v>
      </c>
      <c r="AA416" s="4" t="s">
        <v>52</v>
      </c>
      <c r="AB416" s="4" t="s">
        <v>397</v>
      </c>
      <c r="AC416" s="4" t="s">
        <v>52</v>
      </c>
      <c r="AD416" s="4" t="s">
        <v>397</v>
      </c>
      <c r="AE416" s="4" t="s">
        <v>657</v>
      </c>
      <c r="AF416" s="4" t="s">
        <v>123</v>
      </c>
      <c r="AG416" s="4" t="s">
        <v>398</v>
      </c>
    </row>
    <row r="417" ht="27" spans="1:33">
      <c r="A417" s="33" t="s">
        <v>652</v>
      </c>
      <c r="B417" s="4" t="s">
        <v>679</v>
      </c>
      <c r="C417" s="4">
        <v>39</v>
      </c>
      <c r="D417" s="4" t="s">
        <v>48</v>
      </c>
      <c r="F417" s="4" t="s">
        <v>82</v>
      </c>
      <c r="G417" s="19"/>
      <c r="H417" s="19">
        <v>44976</v>
      </c>
      <c r="I417" s="19">
        <v>45115</v>
      </c>
      <c r="J417" s="34">
        <f t="shared" si="20"/>
        <v>140</v>
      </c>
      <c r="O417" s="4" t="s">
        <v>50</v>
      </c>
      <c r="P417" s="4"/>
      <c r="Q417" s="4"/>
      <c r="R417" s="4" t="str">
        <f t="shared" si="21"/>
        <v/>
      </c>
      <c r="S417" s="4"/>
      <c r="T417" s="4"/>
      <c r="U417" s="4"/>
      <c r="V417" s="4"/>
      <c r="W417" s="4" t="s">
        <v>51</v>
      </c>
      <c r="X417" s="4" t="s">
        <v>343</v>
      </c>
      <c r="Y417" s="4" t="s">
        <v>343</v>
      </c>
      <c r="Z417" s="4" t="s">
        <v>343</v>
      </c>
      <c r="AA417" s="4" t="s">
        <v>657</v>
      </c>
      <c r="AB417" s="4" t="s">
        <v>123</v>
      </c>
      <c r="AC417" s="4" t="s">
        <v>657</v>
      </c>
      <c r="AD417" s="4" t="s">
        <v>123</v>
      </c>
      <c r="AE417" s="4" t="s">
        <v>657</v>
      </c>
      <c r="AF417" s="4" t="s">
        <v>123</v>
      </c>
      <c r="AG417" s="4" t="s">
        <v>123</v>
      </c>
    </row>
    <row r="418" ht="27" spans="1:33">
      <c r="A418" s="33" t="s">
        <v>652</v>
      </c>
      <c r="B418" s="4" t="s">
        <v>680</v>
      </c>
      <c r="C418" s="4">
        <v>37</v>
      </c>
      <c r="D418" s="4" t="s">
        <v>48</v>
      </c>
      <c r="F418" s="4" t="s">
        <v>49</v>
      </c>
      <c r="G418" s="19">
        <v>45139</v>
      </c>
      <c r="H418" s="19">
        <v>44966</v>
      </c>
      <c r="I418" s="19">
        <v>45231</v>
      </c>
      <c r="J418" s="34">
        <f t="shared" si="20"/>
        <v>266</v>
      </c>
      <c r="O418" s="4" t="s">
        <v>50</v>
      </c>
      <c r="P418" s="4"/>
      <c r="Q418" s="4"/>
      <c r="R418" s="4" t="str">
        <f t="shared" si="21"/>
        <v/>
      </c>
      <c r="S418" s="4"/>
      <c r="T418" s="4"/>
      <c r="U418" s="4"/>
      <c r="V418" s="4"/>
      <c r="W418" s="4" t="s">
        <v>51</v>
      </c>
      <c r="X418" s="4" t="s">
        <v>51</v>
      </c>
      <c r="Y418" s="4" t="s">
        <v>51</v>
      </c>
      <c r="Z418" s="4" t="s">
        <v>51</v>
      </c>
      <c r="AA418" s="4" t="s">
        <v>52</v>
      </c>
      <c r="AB418" s="4" t="s">
        <v>397</v>
      </c>
      <c r="AC418" s="4" t="s">
        <v>52</v>
      </c>
      <c r="AD418" s="4" t="s">
        <v>397</v>
      </c>
      <c r="AE418" s="4" t="s">
        <v>52</v>
      </c>
      <c r="AF418" s="4" t="s">
        <v>397</v>
      </c>
      <c r="AG418" s="4" t="s">
        <v>398</v>
      </c>
    </row>
    <row r="419" ht="27" spans="1:33">
      <c r="A419" s="33" t="s">
        <v>652</v>
      </c>
      <c r="B419" s="4" t="s">
        <v>681</v>
      </c>
      <c r="C419" s="4">
        <v>37</v>
      </c>
      <c r="D419" s="4" t="s">
        <v>48</v>
      </c>
      <c r="F419" s="4" t="s">
        <v>49</v>
      </c>
      <c r="G419" s="19">
        <v>45139</v>
      </c>
      <c r="H419" s="19">
        <v>44966</v>
      </c>
      <c r="I419" s="19">
        <v>45139</v>
      </c>
      <c r="J419" s="34">
        <f t="shared" si="20"/>
        <v>174</v>
      </c>
      <c r="O419" s="4" t="s">
        <v>50</v>
      </c>
      <c r="P419" s="4"/>
      <c r="Q419" s="4"/>
      <c r="R419" s="4" t="str">
        <f t="shared" si="21"/>
        <v/>
      </c>
      <c r="S419" s="4"/>
      <c r="T419" s="4"/>
      <c r="U419" s="4"/>
      <c r="V419" s="4"/>
      <c r="W419" s="4" t="s">
        <v>51</v>
      </c>
      <c r="X419" s="4" t="s">
        <v>51</v>
      </c>
      <c r="Y419" s="4" t="s">
        <v>51</v>
      </c>
      <c r="Z419" s="4" t="s">
        <v>343</v>
      </c>
      <c r="AA419" s="4" t="s">
        <v>52</v>
      </c>
      <c r="AB419" s="4" t="s">
        <v>397</v>
      </c>
      <c r="AC419" s="4" t="s">
        <v>52</v>
      </c>
      <c r="AD419" s="4" t="s">
        <v>397</v>
      </c>
      <c r="AE419" s="4" t="s">
        <v>657</v>
      </c>
      <c r="AF419" s="4" t="s">
        <v>123</v>
      </c>
      <c r="AG419" s="4" t="s">
        <v>398</v>
      </c>
    </row>
    <row r="420" ht="27" spans="1:33">
      <c r="A420" s="33" t="s">
        <v>652</v>
      </c>
      <c r="B420" s="4" t="s">
        <v>682</v>
      </c>
      <c r="C420" s="4">
        <v>72</v>
      </c>
      <c r="D420" s="4" t="s">
        <v>48</v>
      </c>
      <c r="F420" s="4" t="s">
        <v>82</v>
      </c>
      <c r="G420" s="19">
        <v>45128</v>
      </c>
      <c r="H420" s="19">
        <v>44956</v>
      </c>
      <c r="I420" s="19">
        <v>45229</v>
      </c>
      <c r="J420" s="34">
        <f t="shared" si="20"/>
        <v>274</v>
      </c>
      <c r="O420" s="4" t="s">
        <v>50</v>
      </c>
      <c r="P420" s="4"/>
      <c r="Q420" s="4"/>
      <c r="R420" s="4" t="str">
        <f t="shared" si="21"/>
        <v/>
      </c>
      <c r="S420" s="4"/>
      <c r="T420" s="4"/>
      <c r="U420" s="4"/>
      <c r="V420" s="4"/>
      <c r="W420" s="4" t="s">
        <v>51</v>
      </c>
      <c r="X420" s="4" t="s">
        <v>51</v>
      </c>
      <c r="Y420" s="4" t="s">
        <v>51</v>
      </c>
      <c r="Z420" s="4" t="s">
        <v>51</v>
      </c>
      <c r="AA420" s="4" t="s">
        <v>52</v>
      </c>
      <c r="AB420" s="4" t="s">
        <v>397</v>
      </c>
      <c r="AC420" s="4" t="s">
        <v>52</v>
      </c>
      <c r="AD420" s="4" t="s">
        <v>397</v>
      </c>
      <c r="AE420" s="4" t="s">
        <v>52</v>
      </c>
      <c r="AF420" s="4" t="s">
        <v>397</v>
      </c>
      <c r="AG420" s="4" t="s">
        <v>398</v>
      </c>
    </row>
    <row r="421" ht="27" spans="1:33">
      <c r="A421" s="33" t="s">
        <v>652</v>
      </c>
      <c r="B421" s="4" t="s">
        <v>683</v>
      </c>
      <c r="C421" s="4">
        <v>34</v>
      </c>
      <c r="D421" s="4" t="s">
        <v>54</v>
      </c>
      <c r="F421" s="4" t="s">
        <v>82</v>
      </c>
      <c r="G421" s="19">
        <v>45120</v>
      </c>
      <c r="H421" s="19">
        <v>44944</v>
      </c>
      <c r="I421" s="19">
        <v>45126</v>
      </c>
      <c r="J421" s="34">
        <f t="shared" si="20"/>
        <v>183</v>
      </c>
      <c r="O421" s="4" t="s">
        <v>50</v>
      </c>
      <c r="P421" s="4"/>
      <c r="Q421" s="4"/>
      <c r="R421" s="4" t="str">
        <f t="shared" si="21"/>
        <v/>
      </c>
      <c r="S421" s="4"/>
      <c r="T421" s="4"/>
      <c r="U421" s="4"/>
      <c r="V421" s="4"/>
      <c r="W421" s="4" t="s">
        <v>51</v>
      </c>
      <c r="X421" s="4" t="s">
        <v>51</v>
      </c>
      <c r="Y421" s="4" t="s">
        <v>51</v>
      </c>
      <c r="Z421" s="4" t="s">
        <v>51</v>
      </c>
      <c r="AA421" s="4" t="s">
        <v>52</v>
      </c>
      <c r="AB421" s="4" t="s">
        <v>397</v>
      </c>
      <c r="AC421" s="4" t="s">
        <v>52</v>
      </c>
      <c r="AD421" s="4" t="s">
        <v>397</v>
      </c>
      <c r="AE421" s="4" t="s">
        <v>52</v>
      </c>
      <c r="AF421" s="4" t="s">
        <v>397</v>
      </c>
      <c r="AG421" s="4" t="s">
        <v>398</v>
      </c>
    </row>
    <row r="422" ht="27" spans="1:33">
      <c r="A422" s="33" t="s">
        <v>652</v>
      </c>
      <c r="B422" s="4" t="s">
        <v>684</v>
      </c>
      <c r="C422" s="4">
        <v>50</v>
      </c>
      <c r="D422" s="4" t="s">
        <v>48</v>
      </c>
      <c r="F422" s="4" t="s">
        <v>82</v>
      </c>
      <c r="G422" s="19">
        <v>45159</v>
      </c>
      <c r="H422" s="19">
        <v>44964</v>
      </c>
      <c r="I422" s="19">
        <v>45258</v>
      </c>
      <c r="J422" s="34">
        <f t="shared" si="20"/>
        <v>295</v>
      </c>
      <c r="O422" s="4" t="s">
        <v>50</v>
      </c>
      <c r="P422" s="4"/>
      <c r="Q422" s="4"/>
      <c r="R422" s="4" t="str">
        <f t="shared" si="21"/>
        <v/>
      </c>
      <c r="S422" s="4"/>
      <c r="T422" s="4"/>
      <c r="U422" s="4"/>
      <c r="V422" s="4"/>
      <c r="W422" s="4" t="s">
        <v>51</v>
      </c>
      <c r="X422" s="4" t="s">
        <v>51</v>
      </c>
      <c r="Y422" s="4" t="s">
        <v>343</v>
      </c>
      <c r="Z422" s="4" t="s">
        <v>343</v>
      </c>
      <c r="AA422" s="4" t="s">
        <v>52</v>
      </c>
      <c r="AB422" s="4" t="s">
        <v>397</v>
      </c>
      <c r="AC422" s="4" t="s">
        <v>657</v>
      </c>
      <c r="AD422" s="4" t="s">
        <v>123</v>
      </c>
      <c r="AE422" s="4" t="s">
        <v>657</v>
      </c>
      <c r="AF422" s="4" t="s">
        <v>123</v>
      </c>
      <c r="AG422" s="4" t="s">
        <v>123</v>
      </c>
    </row>
    <row r="423" ht="27" spans="1:33">
      <c r="A423" s="33" t="s">
        <v>652</v>
      </c>
      <c r="B423" s="4" t="s">
        <v>685</v>
      </c>
      <c r="C423" s="4">
        <v>43</v>
      </c>
      <c r="D423" s="4" t="s">
        <v>48</v>
      </c>
      <c r="F423" s="4" t="s">
        <v>82</v>
      </c>
      <c r="G423" s="19"/>
      <c r="H423" s="19">
        <v>44911</v>
      </c>
      <c r="I423" s="19">
        <v>45312</v>
      </c>
      <c r="J423" s="34">
        <f t="shared" si="20"/>
        <v>402</v>
      </c>
      <c r="O423" s="4" t="s">
        <v>50</v>
      </c>
      <c r="P423" s="4"/>
      <c r="Q423" s="4"/>
      <c r="R423" s="4" t="str">
        <f t="shared" si="21"/>
        <v/>
      </c>
      <c r="S423" s="4"/>
      <c r="T423" s="4"/>
      <c r="U423" s="4"/>
      <c r="V423" s="4"/>
      <c r="W423" s="4" t="s">
        <v>51</v>
      </c>
      <c r="X423" s="4" t="s">
        <v>51</v>
      </c>
      <c r="Y423" s="4" t="s">
        <v>343</v>
      </c>
      <c r="Z423" s="4" t="s">
        <v>343</v>
      </c>
      <c r="AA423" s="4" t="s">
        <v>52</v>
      </c>
      <c r="AB423" s="4" t="s">
        <v>397</v>
      </c>
      <c r="AC423" s="4" t="s">
        <v>657</v>
      </c>
      <c r="AD423" s="4" t="s">
        <v>123</v>
      </c>
      <c r="AE423" s="4" t="s">
        <v>657</v>
      </c>
      <c r="AF423" s="4" t="s">
        <v>123</v>
      </c>
      <c r="AG423" s="4" t="s">
        <v>123</v>
      </c>
    </row>
    <row r="424" ht="27" spans="1:33">
      <c r="A424" s="33" t="s">
        <v>652</v>
      </c>
      <c r="B424" s="4" t="s">
        <v>686</v>
      </c>
      <c r="C424" s="4">
        <v>59</v>
      </c>
      <c r="D424" s="4" t="s">
        <v>48</v>
      </c>
      <c r="F424" s="4" t="s">
        <v>82</v>
      </c>
      <c r="G424" s="19">
        <v>45036</v>
      </c>
      <c r="H424" s="19">
        <v>44846</v>
      </c>
      <c r="I424" s="19">
        <v>45144</v>
      </c>
      <c r="J424" s="34">
        <f t="shared" si="20"/>
        <v>299</v>
      </c>
      <c r="O424" s="4" t="s">
        <v>50</v>
      </c>
      <c r="P424" s="4"/>
      <c r="Q424" s="4"/>
      <c r="R424" s="4" t="str">
        <f t="shared" si="21"/>
        <v/>
      </c>
      <c r="S424" s="4"/>
      <c r="T424" s="4"/>
      <c r="U424" s="4"/>
      <c r="V424" s="4"/>
      <c r="W424" s="4" t="s">
        <v>51</v>
      </c>
      <c r="X424" s="4" t="s">
        <v>51</v>
      </c>
      <c r="Y424" s="4" t="s">
        <v>343</v>
      </c>
      <c r="Z424" s="4" t="s">
        <v>343</v>
      </c>
      <c r="AA424" s="4" t="s">
        <v>52</v>
      </c>
      <c r="AB424" s="4" t="s">
        <v>397</v>
      </c>
      <c r="AC424" s="4" t="s">
        <v>657</v>
      </c>
      <c r="AD424" s="4" t="s">
        <v>123</v>
      </c>
      <c r="AE424" s="4" t="s">
        <v>657</v>
      </c>
      <c r="AF424" s="4" t="s">
        <v>123</v>
      </c>
      <c r="AG424" s="4" t="s">
        <v>123</v>
      </c>
    </row>
    <row r="425" ht="27" spans="1:33">
      <c r="A425" s="33" t="s">
        <v>652</v>
      </c>
      <c r="B425" s="4" t="s">
        <v>687</v>
      </c>
      <c r="C425" s="4">
        <v>44</v>
      </c>
      <c r="D425" s="4" t="s">
        <v>54</v>
      </c>
      <c r="F425" s="4" t="s">
        <v>49</v>
      </c>
      <c r="G425" s="19">
        <v>44995</v>
      </c>
      <c r="H425" s="19">
        <v>44825</v>
      </c>
      <c r="I425" s="19">
        <v>45096</v>
      </c>
      <c r="J425" s="34">
        <f t="shared" si="20"/>
        <v>272</v>
      </c>
      <c r="O425" s="4" t="s">
        <v>50</v>
      </c>
      <c r="P425" s="4"/>
      <c r="Q425" s="4"/>
      <c r="R425" s="4" t="str">
        <f t="shared" si="21"/>
        <v/>
      </c>
      <c r="S425" s="4"/>
      <c r="T425" s="4"/>
      <c r="U425" s="4"/>
      <c r="V425" s="4"/>
      <c r="W425" s="4" t="s">
        <v>51</v>
      </c>
      <c r="X425" s="4" t="s">
        <v>51</v>
      </c>
      <c r="Y425" s="4" t="s">
        <v>51</v>
      </c>
      <c r="Z425" s="4" t="s">
        <v>51</v>
      </c>
      <c r="AA425" s="4" t="s">
        <v>52</v>
      </c>
      <c r="AB425" s="4" t="s">
        <v>397</v>
      </c>
      <c r="AC425" s="4" t="s">
        <v>52</v>
      </c>
      <c r="AD425" s="4" t="s">
        <v>397</v>
      </c>
      <c r="AE425" s="4" t="s">
        <v>52</v>
      </c>
      <c r="AF425" s="4" t="s">
        <v>397</v>
      </c>
      <c r="AG425" s="4" t="s">
        <v>398</v>
      </c>
    </row>
    <row r="426" ht="27" spans="1:33">
      <c r="A426" s="33" t="s">
        <v>652</v>
      </c>
      <c r="B426" s="4" t="s">
        <v>688</v>
      </c>
      <c r="C426" s="4">
        <v>36</v>
      </c>
      <c r="D426" s="4" t="s">
        <v>48</v>
      </c>
      <c r="F426" s="4" t="s">
        <v>49</v>
      </c>
      <c r="G426" s="19"/>
      <c r="H426" s="19">
        <v>44773</v>
      </c>
      <c r="I426" s="19">
        <v>44966</v>
      </c>
      <c r="J426" s="34">
        <f t="shared" si="20"/>
        <v>194</v>
      </c>
      <c r="O426" s="4" t="s">
        <v>50</v>
      </c>
      <c r="P426" s="4"/>
      <c r="Q426" s="4"/>
      <c r="R426" s="4" t="str">
        <f t="shared" si="21"/>
        <v/>
      </c>
      <c r="S426" s="4"/>
      <c r="T426" s="4"/>
      <c r="U426" s="4"/>
      <c r="V426" s="4"/>
      <c r="W426" s="4" t="s">
        <v>51</v>
      </c>
      <c r="X426" s="4" t="s">
        <v>51</v>
      </c>
      <c r="Y426" s="4" t="s">
        <v>51</v>
      </c>
      <c r="Z426" s="4" t="s">
        <v>343</v>
      </c>
      <c r="AA426" s="4" t="s">
        <v>52</v>
      </c>
      <c r="AB426" s="4" t="s">
        <v>397</v>
      </c>
      <c r="AC426" s="4" t="s">
        <v>52</v>
      </c>
      <c r="AD426" s="4" t="s">
        <v>397</v>
      </c>
      <c r="AE426" s="4" t="s">
        <v>657</v>
      </c>
      <c r="AF426" s="4" t="s">
        <v>123</v>
      </c>
      <c r="AG426" s="4" t="s">
        <v>398</v>
      </c>
    </row>
    <row r="427" ht="27" spans="1:33">
      <c r="A427" s="33" t="s">
        <v>652</v>
      </c>
      <c r="B427" s="4" t="s">
        <v>689</v>
      </c>
      <c r="C427" s="4">
        <v>28</v>
      </c>
      <c r="D427" s="4" t="s">
        <v>48</v>
      </c>
      <c r="F427" s="4" t="s">
        <v>82</v>
      </c>
      <c r="G427" s="19">
        <v>45055</v>
      </c>
      <c r="H427" s="19">
        <v>44881</v>
      </c>
      <c r="I427" s="19">
        <v>45085</v>
      </c>
      <c r="J427" s="34">
        <f t="shared" si="20"/>
        <v>205</v>
      </c>
      <c r="O427" s="4" t="s">
        <v>50</v>
      </c>
      <c r="P427" s="4"/>
      <c r="Q427" s="4"/>
      <c r="R427" s="4" t="str">
        <f t="shared" si="21"/>
        <v/>
      </c>
      <c r="S427" s="4"/>
      <c r="T427" s="4"/>
      <c r="U427" s="4"/>
      <c r="V427" s="4"/>
      <c r="W427" s="4" t="s">
        <v>51</v>
      </c>
      <c r="X427" s="4" t="s">
        <v>51</v>
      </c>
      <c r="Y427" s="4" t="s">
        <v>343</v>
      </c>
      <c r="Z427" s="4" t="s">
        <v>343</v>
      </c>
      <c r="AA427" s="4" t="s">
        <v>52</v>
      </c>
      <c r="AB427" s="4" t="s">
        <v>397</v>
      </c>
      <c r="AC427" s="4" t="s">
        <v>52</v>
      </c>
      <c r="AD427" s="4" t="s">
        <v>397</v>
      </c>
      <c r="AE427" s="4" t="s">
        <v>52</v>
      </c>
      <c r="AF427" s="4" t="s">
        <v>397</v>
      </c>
      <c r="AG427" s="4" t="s">
        <v>398</v>
      </c>
    </row>
    <row r="428" ht="27" spans="1:33">
      <c r="A428" s="33" t="s">
        <v>652</v>
      </c>
      <c r="B428" s="4" t="s">
        <v>690</v>
      </c>
      <c r="C428" s="4">
        <v>41</v>
      </c>
      <c r="D428" s="4" t="s">
        <v>48</v>
      </c>
      <c r="F428" s="4" t="s">
        <v>49</v>
      </c>
      <c r="G428" s="19"/>
      <c r="H428" s="19">
        <v>44558</v>
      </c>
      <c r="I428" s="19">
        <v>45111</v>
      </c>
      <c r="J428" s="34">
        <f t="shared" si="20"/>
        <v>554</v>
      </c>
      <c r="O428" s="4" t="s">
        <v>50</v>
      </c>
      <c r="P428" s="4"/>
      <c r="Q428" s="4"/>
      <c r="R428" s="4" t="str">
        <f t="shared" si="21"/>
        <v/>
      </c>
      <c r="S428" s="4"/>
      <c r="T428" s="4"/>
      <c r="U428" s="4"/>
      <c r="V428" s="4"/>
      <c r="W428" s="4" t="s">
        <v>51</v>
      </c>
      <c r="X428" s="4" t="s">
        <v>51</v>
      </c>
      <c r="Y428" s="4" t="s">
        <v>343</v>
      </c>
      <c r="Z428" s="4" t="s">
        <v>343</v>
      </c>
      <c r="AA428" s="4" t="s">
        <v>52</v>
      </c>
      <c r="AB428" s="4" t="s">
        <v>397</v>
      </c>
      <c r="AC428" s="4" t="s">
        <v>657</v>
      </c>
      <c r="AD428" s="4" t="s">
        <v>123</v>
      </c>
      <c r="AE428" s="4" t="s">
        <v>657</v>
      </c>
      <c r="AF428" s="4" t="s">
        <v>123</v>
      </c>
      <c r="AG428" s="4" t="s">
        <v>123</v>
      </c>
    </row>
    <row r="429" ht="27" spans="1:33">
      <c r="A429" s="33" t="s">
        <v>652</v>
      </c>
      <c r="B429" s="4" t="s">
        <v>691</v>
      </c>
      <c r="C429" s="4">
        <v>64</v>
      </c>
      <c r="D429" s="4" t="s">
        <v>48</v>
      </c>
      <c r="F429" s="4" t="s">
        <v>49</v>
      </c>
      <c r="G429" s="19">
        <v>44992</v>
      </c>
      <c r="H429" s="19">
        <v>44806</v>
      </c>
      <c r="I429" s="19">
        <v>45006</v>
      </c>
      <c r="J429" s="34">
        <f t="shared" si="20"/>
        <v>201</v>
      </c>
      <c r="O429" s="4" t="s">
        <v>50</v>
      </c>
      <c r="P429" s="4"/>
      <c r="Q429" s="4"/>
      <c r="R429" s="4" t="str">
        <f t="shared" si="21"/>
        <v/>
      </c>
      <c r="S429" s="4"/>
      <c r="T429" s="4"/>
      <c r="U429" s="4"/>
      <c r="V429" s="4"/>
      <c r="W429" s="4" t="s">
        <v>51</v>
      </c>
      <c r="X429" s="4" t="s">
        <v>51</v>
      </c>
      <c r="Y429" s="4" t="s">
        <v>51</v>
      </c>
      <c r="Z429" s="4" t="s">
        <v>51</v>
      </c>
      <c r="AA429" s="4" t="s">
        <v>52</v>
      </c>
      <c r="AB429" s="4" t="s">
        <v>397</v>
      </c>
      <c r="AC429" s="4" t="s">
        <v>52</v>
      </c>
      <c r="AD429" s="4" t="s">
        <v>397</v>
      </c>
      <c r="AE429" s="4" t="s">
        <v>52</v>
      </c>
      <c r="AF429" s="4" t="s">
        <v>397</v>
      </c>
      <c r="AG429" s="4" t="s">
        <v>398</v>
      </c>
    </row>
    <row r="430" ht="27" spans="1:33">
      <c r="A430" s="33" t="s">
        <v>652</v>
      </c>
      <c r="B430" s="4" t="s">
        <v>692</v>
      </c>
      <c r="C430" s="4">
        <v>23</v>
      </c>
      <c r="D430" s="4" t="s">
        <v>54</v>
      </c>
      <c r="F430" s="4" t="s">
        <v>49</v>
      </c>
      <c r="G430" s="19">
        <v>44992</v>
      </c>
      <c r="H430" s="19">
        <v>44804</v>
      </c>
      <c r="I430" s="19">
        <v>45107</v>
      </c>
      <c r="J430" s="34">
        <f t="shared" si="20"/>
        <v>304</v>
      </c>
      <c r="O430" s="4" t="s">
        <v>50</v>
      </c>
      <c r="P430" s="4"/>
      <c r="Q430" s="4"/>
      <c r="R430" s="4" t="str">
        <f t="shared" si="21"/>
        <v/>
      </c>
      <c r="S430" s="4"/>
      <c r="T430" s="4"/>
      <c r="U430" s="4"/>
      <c r="V430" s="4"/>
      <c r="W430" s="4" t="s">
        <v>51</v>
      </c>
      <c r="X430" s="4" t="s">
        <v>51</v>
      </c>
      <c r="Y430" s="4" t="s">
        <v>343</v>
      </c>
      <c r="Z430" s="4" t="s">
        <v>343</v>
      </c>
      <c r="AA430" s="4" t="s">
        <v>52</v>
      </c>
      <c r="AB430" s="4" t="s">
        <v>397</v>
      </c>
      <c r="AC430" s="4" t="s">
        <v>657</v>
      </c>
      <c r="AD430" s="4" t="s">
        <v>123</v>
      </c>
      <c r="AE430" s="4" t="s">
        <v>657</v>
      </c>
      <c r="AF430" s="4" t="s">
        <v>123</v>
      </c>
      <c r="AG430" s="4" t="s">
        <v>123</v>
      </c>
    </row>
    <row r="431" ht="27" spans="1:33">
      <c r="A431" s="33" t="s">
        <v>652</v>
      </c>
      <c r="B431" s="4" t="s">
        <v>693</v>
      </c>
      <c r="C431" s="4">
        <v>67</v>
      </c>
      <c r="D431" s="4" t="s">
        <v>48</v>
      </c>
      <c r="F431" s="4" t="s">
        <v>49</v>
      </c>
      <c r="G431" s="19"/>
      <c r="H431" s="19">
        <v>44775</v>
      </c>
      <c r="I431" s="19">
        <v>45320</v>
      </c>
      <c r="J431" s="34">
        <f t="shared" si="20"/>
        <v>546</v>
      </c>
      <c r="O431" s="4" t="s">
        <v>51</v>
      </c>
      <c r="P431" s="4"/>
      <c r="Q431" s="4"/>
      <c r="R431" s="4" t="str">
        <f t="shared" si="21"/>
        <v/>
      </c>
      <c r="S431" s="4"/>
      <c r="T431" s="4"/>
      <c r="U431" s="4"/>
      <c r="V431" s="4"/>
      <c r="W431" s="4" t="s">
        <v>51</v>
      </c>
      <c r="X431" s="4" t="s">
        <v>51</v>
      </c>
      <c r="Y431" s="4" t="s">
        <v>51</v>
      </c>
      <c r="Z431" s="4" t="s">
        <v>343</v>
      </c>
      <c r="AA431" s="4" t="s">
        <v>52</v>
      </c>
      <c r="AB431" s="4" t="s">
        <v>397</v>
      </c>
      <c r="AC431" s="4" t="s">
        <v>52</v>
      </c>
      <c r="AD431" s="4" t="s">
        <v>397</v>
      </c>
      <c r="AE431" s="4" t="s">
        <v>657</v>
      </c>
      <c r="AF431" s="4" t="s">
        <v>123</v>
      </c>
      <c r="AG431" s="4" t="s">
        <v>398</v>
      </c>
    </row>
    <row r="432" ht="27" spans="1:33">
      <c r="A432" s="33" t="s">
        <v>652</v>
      </c>
      <c r="B432" s="4" t="s">
        <v>678</v>
      </c>
      <c r="C432" s="4">
        <v>36</v>
      </c>
      <c r="D432" s="4" t="s">
        <v>48</v>
      </c>
      <c r="F432" s="4" t="s">
        <v>49</v>
      </c>
      <c r="G432" s="19"/>
      <c r="H432" s="19">
        <v>44525</v>
      </c>
      <c r="I432" s="19">
        <v>44848</v>
      </c>
      <c r="J432" s="34">
        <f t="shared" si="20"/>
        <v>324</v>
      </c>
      <c r="O432" s="4" t="s">
        <v>50</v>
      </c>
      <c r="P432" s="4"/>
      <c r="Q432" s="4"/>
      <c r="R432" s="4" t="str">
        <f t="shared" si="21"/>
        <v/>
      </c>
      <c r="S432" s="4"/>
      <c r="T432" s="4"/>
      <c r="U432" s="4"/>
      <c r="V432" s="4"/>
      <c r="W432" s="4" t="s">
        <v>51</v>
      </c>
      <c r="X432" s="4" t="s">
        <v>51</v>
      </c>
      <c r="Y432" s="4" t="s">
        <v>51</v>
      </c>
      <c r="Z432" s="4" t="s">
        <v>343</v>
      </c>
      <c r="AA432" s="4" t="s">
        <v>52</v>
      </c>
      <c r="AB432" s="4" t="s">
        <v>397</v>
      </c>
      <c r="AC432" s="4" t="s">
        <v>52</v>
      </c>
      <c r="AD432" s="4" t="s">
        <v>397</v>
      </c>
      <c r="AE432" s="4" t="s">
        <v>657</v>
      </c>
      <c r="AF432" s="4" t="s">
        <v>123</v>
      </c>
      <c r="AG432" s="4" t="s">
        <v>398</v>
      </c>
    </row>
    <row r="433" ht="27" spans="1:33">
      <c r="A433" s="33" t="s">
        <v>652</v>
      </c>
      <c r="B433" s="4" t="s">
        <v>694</v>
      </c>
      <c r="C433" s="4">
        <v>46</v>
      </c>
      <c r="D433" s="4" t="s">
        <v>48</v>
      </c>
      <c r="F433" s="4" t="s">
        <v>49</v>
      </c>
      <c r="G433" s="19">
        <v>44971</v>
      </c>
      <c r="H433" s="19">
        <v>44791</v>
      </c>
      <c r="I433" s="19">
        <v>44975</v>
      </c>
      <c r="J433" s="34">
        <f t="shared" si="20"/>
        <v>185</v>
      </c>
      <c r="O433" s="4" t="s">
        <v>51</v>
      </c>
      <c r="P433" s="4"/>
      <c r="Q433" s="4"/>
      <c r="R433" s="4" t="str">
        <f t="shared" si="21"/>
        <v/>
      </c>
      <c r="S433" s="4"/>
      <c r="T433" s="4"/>
      <c r="U433" s="4"/>
      <c r="V433" s="4"/>
      <c r="W433" s="4" t="s">
        <v>51</v>
      </c>
      <c r="X433" s="4" t="s">
        <v>51</v>
      </c>
      <c r="Y433" s="4" t="s">
        <v>343</v>
      </c>
      <c r="Z433" s="4" t="s">
        <v>343</v>
      </c>
      <c r="AA433" s="4" t="s">
        <v>52</v>
      </c>
      <c r="AB433" s="4" t="s">
        <v>397</v>
      </c>
      <c r="AC433" s="4" t="s">
        <v>657</v>
      </c>
      <c r="AD433" s="4" t="s">
        <v>123</v>
      </c>
      <c r="AE433" s="4" t="s">
        <v>657</v>
      </c>
      <c r="AF433" s="4" t="s">
        <v>123</v>
      </c>
      <c r="AG433" s="4" t="s">
        <v>123</v>
      </c>
    </row>
    <row r="434" ht="27" spans="1:33">
      <c r="A434" s="33" t="s">
        <v>652</v>
      </c>
      <c r="B434" s="4" t="s">
        <v>695</v>
      </c>
      <c r="C434" s="4">
        <v>16</v>
      </c>
      <c r="D434" s="4" t="s">
        <v>48</v>
      </c>
      <c r="F434" s="4" t="s">
        <v>82</v>
      </c>
      <c r="G434" s="19"/>
      <c r="H434" s="19">
        <v>44613</v>
      </c>
      <c r="I434" s="19">
        <v>44832</v>
      </c>
      <c r="J434" s="34">
        <f t="shared" si="20"/>
        <v>220</v>
      </c>
      <c r="O434" s="4" t="s">
        <v>50</v>
      </c>
      <c r="P434" s="4"/>
      <c r="Q434" s="4"/>
      <c r="R434" s="4" t="str">
        <f t="shared" si="21"/>
        <v/>
      </c>
      <c r="S434" s="4"/>
      <c r="T434" s="4"/>
      <c r="U434" s="4"/>
      <c r="V434" s="4"/>
      <c r="W434" s="4" t="s">
        <v>51</v>
      </c>
      <c r="X434" s="4" t="s">
        <v>51</v>
      </c>
      <c r="Y434" s="4" t="s">
        <v>343</v>
      </c>
      <c r="Z434" s="4" t="s">
        <v>51</v>
      </c>
      <c r="AA434" s="4" t="s">
        <v>52</v>
      </c>
      <c r="AB434" s="4" t="s">
        <v>397</v>
      </c>
      <c r="AC434" s="4" t="s">
        <v>657</v>
      </c>
      <c r="AD434" s="4" t="s">
        <v>397</v>
      </c>
      <c r="AE434" s="4" t="s">
        <v>52</v>
      </c>
      <c r="AF434" s="4" t="s">
        <v>397</v>
      </c>
      <c r="AG434" s="4" t="s">
        <v>398</v>
      </c>
    </row>
    <row r="435" ht="27" spans="1:33">
      <c r="A435" s="33" t="s">
        <v>652</v>
      </c>
      <c r="B435" s="4" t="s">
        <v>696</v>
      </c>
      <c r="C435" s="4">
        <v>67</v>
      </c>
      <c r="D435" s="4" t="s">
        <v>48</v>
      </c>
      <c r="F435" s="4" t="s">
        <v>56</v>
      </c>
      <c r="G435" s="19"/>
      <c r="H435" s="19">
        <v>44573</v>
      </c>
      <c r="I435" s="19">
        <v>45167</v>
      </c>
      <c r="J435" s="34">
        <f t="shared" si="20"/>
        <v>595</v>
      </c>
      <c r="O435" s="4" t="s">
        <v>51</v>
      </c>
      <c r="P435" s="4"/>
      <c r="Q435" s="4"/>
      <c r="R435" s="4" t="str">
        <f t="shared" si="21"/>
        <v/>
      </c>
      <c r="S435" s="4"/>
      <c r="T435" s="4"/>
      <c r="U435" s="4"/>
      <c r="V435" s="4"/>
      <c r="W435" s="4" t="s">
        <v>51</v>
      </c>
      <c r="X435" s="4" t="s">
        <v>51</v>
      </c>
      <c r="Y435" s="4" t="s">
        <v>51</v>
      </c>
      <c r="Z435" s="4" t="s">
        <v>51</v>
      </c>
      <c r="AA435" s="4" t="s">
        <v>52</v>
      </c>
      <c r="AB435" s="4" t="s">
        <v>397</v>
      </c>
      <c r="AC435" s="4" t="s">
        <v>52</v>
      </c>
      <c r="AD435" s="4" t="s">
        <v>397</v>
      </c>
      <c r="AE435" s="4" t="s">
        <v>52</v>
      </c>
      <c r="AF435" s="4" t="s">
        <v>397</v>
      </c>
      <c r="AG435" s="4" t="s">
        <v>398</v>
      </c>
    </row>
    <row r="436" ht="27" spans="1:33">
      <c r="A436" s="33" t="s">
        <v>652</v>
      </c>
      <c r="B436" s="4" t="s">
        <v>697</v>
      </c>
      <c r="C436" s="4">
        <v>67</v>
      </c>
      <c r="D436" s="4" t="s">
        <v>54</v>
      </c>
      <c r="F436" s="4" t="s">
        <v>49</v>
      </c>
      <c r="G436" s="19"/>
      <c r="H436" s="19">
        <v>44602</v>
      </c>
      <c r="I436" s="19">
        <v>44822</v>
      </c>
      <c r="J436" s="34">
        <f t="shared" si="20"/>
        <v>221</v>
      </c>
      <c r="O436" s="4" t="s">
        <v>50</v>
      </c>
      <c r="P436" s="4"/>
      <c r="Q436" s="4"/>
      <c r="R436" s="4" t="str">
        <f t="shared" si="21"/>
        <v/>
      </c>
      <c r="S436" s="4"/>
      <c r="T436" s="4"/>
      <c r="U436" s="4"/>
      <c r="V436" s="4"/>
      <c r="W436" s="4" t="s">
        <v>51</v>
      </c>
      <c r="X436" s="4" t="s">
        <v>51</v>
      </c>
      <c r="Y436" s="4" t="s">
        <v>51</v>
      </c>
      <c r="Z436" s="4" t="s">
        <v>51</v>
      </c>
      <c r="AA436" s="4" t="s">
        <v>52</v>
      </c>
      <c r="AB436" s="4" t="s">
        <v>397</v>
      </c>
      <c r="AC436" s="4" t="s">
        <v>52</v>
      </c>
      <c r="AD436" s="4" t="s">
        <v>397</v>
      </c>
      <c r="AE436" s="4" t="s">
        <v>52</v>
      </c>
      <c r="AF436" s="4" t="s">
        <v>397</v>
      </c>
      <c r="AG436" s="4" t="s">
        <v>398</v>
      </c>
    </row>
    <row r="437" spans="1:33">
      <c r="A437" s="33" t="s">
        <v>698</v>
      </c>
      <c r="B437" s="4" t="s">
        <v>699</v>
      </c>
      <c r="C437" s="4">
        <v>69</v>
      </c>
      <c r="D437" s="4" t="s">
        <v>54</v>
      </c>
      <c r="F437" s="4" t="s">
        <v>700</v>
      </c>
      <c r="G437" s="19">
        <v>45511</v>
      </c>
      <c r="H437" s="19">
        <v>45225</v>
      </c>
      <c r="I437" s="19">
        <v>45525</v>
      </c>
      <c r="J437" s="34">
        <f t="shared" ref="J437:J466" si="22">IF(AND(H437&lt;&gt;"",I437&lt;&gt;""),I437-H437+1,"")</f>
        <v>301</v>
      </c>
      <c r="O437" s="4"/>
      <c r="W437" s="4" t="s">
        <v>51</v>
      </c>
      <c r="X437" s="4" t="s">
        <v>51</v>
      </c>
      <c r="Y437" s="4"/>
      <c r="Z437" s="4"/>
      <c r="AA437" s="39" t="s">
        <v>397</v>
      </c>
      <c r="AB437" s="39" t="s">
        <v>397</v>
      </c>
      <c r="AC437" s="39" t="s">
        <v>397</v>
      </c>
      <c r="AD437" s="39" t="s">
        <v>397</v>
      </c>
      <c r="AE437" s="39" t="s">
        <v>397</v>
      </c>
      <c r="AF437" s="39" t="s">
        <v>397</v>
      </c>
      <c r="AG437" s="4"/>
    </row>
    <row r="438" spans="1:33">
      <c r="A438" s="33" t="s">
        <v>698</v>
      </c>
      <c r="B438" s="4" t="s">
        <v>701</v>
      </c>
      <c r="C438" s="4">
        <v>33</v>
      </c>
      <c r="D438" s="4" t="s">
        <v>48</v>
      </c>
      <c r="F438" s="4" t="s">
        <v>700</v>
      </c>
      <c r="G438" s="19">
        <v>45511</v>
      </c>
      <c r="H438" s="19">
        <v>45225</v>
      </c>
      <c r="I438" s="19">
        <v>45499</v>
      </c>
      <c r="J438" s="34">
        <f t="shared" si="22"/>
        <v>275</v>
      </c>
      <c r="O438" s="4"/>
      <c r="W438" s="4" t="s">
        <v>51</v>
      </c>
      <c r="X438" s="4" t="s">
        <v>51</v>
      </c>
      <c r="Y438" s="4" t="s">
        <v>51</v>
      </c>
      <c r="Z438" s="4"/>
      <c r="AA438" s="39" t="s">
        <v>397</v>
      </c>
      <c r="AB438" s="39" t="s">
        <v>397</v>
      </c>
      <c r="AC438" s="39" t="s">
        <v>397</v>
      </c>
      <c r="AD438" s="39" t="s">
        <v>397</v>
      </c>
      <c r="AE438" s="39" t="s">
        <v>397</v>
      </c>
      <c r="AF438" s="39" t="s">
        <v>397</v>
      </c>
      <c r="AG438" s="4"/>
    </row>
    <row r="439" ht="55.5" spans="1:33">
      <c r="A439" s="33" t="s">
        <v>698</v>
      </c>
      <c r="B439" s="4" t="s">
        <v>702</v>
      </c>
      <c r="C439" s="4">
        <v>51</v>
      </c>
      <c r="D439" s="4" t="s">
        <v>48</v>
      </c>
      <c r="F439" s="4" t="s">
        <v>700</v>
      </c>
      <c r="G439" s="19">
        <v>45511</v>
      </c>
      <c r="H439" s="19">
        <v>45226</v>
      </c>
      <c r="I439" s="19" t="s">
        <v>703</v>
      </c>
      <c r="J439" s="34" t="e">
        <f t="shared" si="22"/>
        <v>#VALUE!</v>
      </c>
      <c r="O439" s="4"/>
      <c r="W439" s="4"/>
      <c r="X439" s="4"/>
      <c r="Y439" s="4"/>
      <c r="Z439" s="4"/>
      <c r="AA439" s="39" t="s">
        <v>397</v>
      </c>
      <c r="AB439" s="39" t="s">
        <v>397</v>
      </c>
      <c r="AC439" s="39" t="s">
        <v>397</v>
      </c>
      <c r="AD439" s="39" t="s">
        <v>397</v>
      </c>
      <c r="AE439" s="39" t="s">
        <v>397</v>
      </c>
      <c r="AF439" s="39" t="s">
        <v>397</v>
      </c>
      <c r="AG439" s="4" t="s">
        <v>704</v>
      </c>
    </row>
    <row r="440" spans="1:33">
      <c r="A440" s="33" t="s">
        <v>698</v>
      </c>
      <c r="B440" s="4" t="s">
        <v>705</v>
      </c>
      <c r="C440" s="4">
        <v>57</v>
      </c>
      <c r="D440" s="4" t="s">
        <v>48</v>
      </c>
      <c r="F440" s="4" t="s">
        <v>700</v>
      </c>
      <c r="G440" s="19">
        <v>45511</v>
      </c>
      <c r="H440" s="19">
        <v>45282</v>
      </c>
      <c r="I440" s="19">
        <v>45557</v>
      </c>
      <c r="J440" s="34">
        <f t="shared" si="22"/>
        <v>276</v>
      </c>
      <c r="O440" s="4"/>
      <c r="W440" s="4" t="s">
        <v>51</v>
      </c>
      <c r="X440" s="4" t="s">
        <v>51</v>
      </c>
      <c r="Y440" s="4"/>
      <c r="Z440" s="4"/>
      <c r="AA440" s="39" t="s">
        <v>397</v>
      </c>
      <c r="AB440" s="39" t="s">
        <v>397</v>
      </c>
      <c r="AC440" s="39" t="s">
        <v>397</v>
      </c>
      <c r="AD440" s="39" t="s">
        <v>397</v>
      </c>
      <c r="AE440" s="39" t="s">
        <v>397</v>
      </c>
      <c r="AF440" s="39" t="s">
        <v>397</v>
      </c>
      <c r="AG440" s="4"/>
    </row>
    <row r="441" spans="1:33">
      <c r="A441" s="33" t="s">
        <v>698</v>
      </c>
      <c r="B441" s="4" t="s">
        <v>706</v>
      </c>
      <c r="C441" s="4">
        <v>24</v>
      </c>
      <c r="D441" s="4" t="s">
        <v>54</v>
      </c>
      <c r="F441" s="4" t="s">
        <v>700</v>
      </c>
      <c r="G441" s="19">
        <v>45511</v>
      </c>
      <c r="H441" s="19">
        <v>45282</v>
      </c>
      <c r="I441" s="19">
        <v>45465</v>
      </c>
      <c r="J441" s="34">
        <f t="shared" si="22"/>
        <v>184</v>
      </c>
      <c r="O441" s="4"/>
      <c r="W441" s="4" t="s">
        <v>51</v>
      </c>
      <c r="X441" s="4" t="s">
        <v>51</v>
      </c>
      <c r="Y441" s="4"/>
      <c r="Z441" s="4"/>
      <c r="AA441" s="39" t="s">
        <v>397</v>
      </c>
      <c r="AB441" s="39" t="s">
        <v>397</v>
      </c>
      <c r="AC441" s="39" t="s">
        <v>397</v>
      </c>
      <c r="AD441" s="39" t="s">
        <v>397</v>
      </c>
      <c r="AE441" s="39" t="s">
        <v>397</v>
      </c>
      <c r="AF441" s="39" t="s">
        <v>397</v>
      </c>
      <c r="AG441" s="4"/>
    </row>
    <row r="442" spans="1:33">
      <c r="A442" s="33" t="s">
        <v>698</v>
      </c>
      <c r="B442" s="4" t="s">
        <v>707</v>
      </c>
      <c r="C442" s="4">
        <v>53</v>
      </c>
      <c r="D442" s="4" t="s">
        <v>48</v>
      </c>
      <c r="F442" s="4" t="s">
        <v>700</v>
      </c>
      <c r="G442" s="19">
        <v>45511</v>
      </c>
      <c r="H442" s="19">
        <v>45307</v>
      </c>
      <c r="I442" s="19">
        <v>45489</v>
      </c>
      <c r="J442" s="34">
        <f t="shared" si="22"/>
        <v>183</v>
      </c>
      <c r="O442" s="4"/>
      <c r="W442" s="4" t="s">
        <v>51</v>
      </c>
      <c r="X442" s="4" t="s">
        <v>51</v>
      </c>
      <c r="Y442" s="4" t="s">
        <v>51</v>
      </c>
      <c r="Z442" s="4"/>
      <c r="AA442" s="39" t="s">
        <v>397</v>
      </c>
      <c r="AB442" s="39" t="s">
        <v>397</v>
      </c>
      <c r="AC442" s="39" t="s">
        <v>397</v>
      </c>
      <c r="AD442" s="39" t="s">
        <v>397</v>
      </c>
      <c r="AE442" s="39" t="s">
        <v>397</v>
      </c>
      <c r="AF442" s="39" t="s">
        <v>397</v>
      </c>
      <c r="AG442" s="4"/>
    </row>
    <row r="443" spans="1:33">
      <c r="A443" s="33" t="s">
        <v>698</v>
      </c>
      <c r="B443" s="4" t="s">
        <v>708</v>
      </c>
      <c r="C443" s="4">
        <v>57</v>
      </c>
      <c r="D443" s="4" t="s">
        <v>54</v>
      </c>
      <c r="F443" s="4" t="s">
        <v>700</v>
      </c>
      <c r="G443" s="19">
        <v>45511</v>
      </c>
      <c r="H443" s="19">
        <v>45332</v>
      </c>
      <c r="I443" s="19">
        <v>45514</v>
      </c>
      <c r="J443" s="34">
        <f t="shared" si="22"/>
        <v>183</v>
      </c>
      <c r="O443" s="4"/>
      <c r="W443" s="4" t="s">
        <v>51</v>
      </c>
      <c r="X443" s="4" t="s">
        <v>51</v>
      </c>
      <c r="Y443" s="4"/>
      <c r="Z443" s="4"/>
      <c r="AA443" s="39" t="s">
        <v>397</v>
      </c>
      <c r="AB443" s="39" t="s">
        <v>397</v>
      </c>
      <c r="AC443" s="39" t="s">
        <v>397</v>
      </c>
      <c r="AD443" s="39" t="s">
        <v>397</v>
      </c>
      <c r="AE443" s="39" t="s">
        <v>397</v>
      </c>
      <c r="AF443" s="39" t="s">
        <v>397</v>
      </c>
      <c r="AG443" s="4"/>
    </row>
    <row r="444" spans="1:33">
      <c r="A444" s="33" t="s">
        <v>698</v>
      </c>
      <c r="B444" s="4" t="s">
        <v>709</v>
      </c>
      <c r="C444" s="4">
        <v>73</v>
      </c>
      <c r="D444" s="4" t="s">
        <v>54</v>
      </c>
      <c r="F444" s="4" t="s">
        <v>700</v>
      </c>
      <c r="G444" s="19"/>
      <c r="H444" s="19">
        <v>45347</v>
      </c>
      <c r="I444" s="19">
        <v>45621</v>
      </c>
      <c r="J444" s="34">
        <f t="shared" si="22"/>
        <v>275</v>
      </c>
      <c r="O444" s="4"/>
      <c r="W444" s="4" t="s">
        <v>51</v>
      </c>
      <c r="X444" s="4" t="s">
        <v>51</v>
      </c>
      <c r="Y444" s="4"/>
      <c r="Z444" s="4"/>
      <c r="AA444" s="39" t="s">
        <v>397</v>
      </c>
      <c r="AB444" s="39" t="s">
        <v>397</v>
      </c>
      <c r="AC444" s="39" t="s">
        <v>397</v>
      </c>
      <c r="AD444" s="39" t="s">
        <v>397</v>
      </c>
      <c r="AE444" s="39" t="s">
        <v>397</v>
      </c>
      <c r="AF444" s="39" t="s">
        <v>397</v>
      </c>
      <c r="AG444" s="4"/>
    </row>
    <row r="445" spans="1:33">
      <c r="A445" s="33" t="s">
        <v>698</v>
      </c>
      <c r="B445" s="4" t="s">
        <v>710</v>
      </c>
      <c r="C445" s="4">
        <v>73</v>
      </c>
      <c r="D445" s="4" t="s">
        <v>54</v>
      </c>
      <c r="F445" s="4" t="s">
        <v>700</v>
      </c>
      <c r="G445" s="19">
        <v>45540</v>
      </c>
      <c r="H445" s="19">
        <v>45360</v>
      </c>
      <c r="I445" s="19">
        <v>45645</v>
      </c>
      <c r="J445" s="34">
        <f t="shared" si="22"/>
        <v>286</v>
      </c>
      <c r="O445" s="4"/>
      <c r="W445" s="4" t="s">
        <v>51</v>
      </c>
      <c r="X445" s="4" t="s">
        <v>51</v>
      </c>
      <c r="Y445" s="4"/>
      <c r="Z445" s="4"/>
      <c r="AA445" s="39" t="s">
        <v>397</v>
      </c>
      <c r="AB445" s="39" t="s">
        <v>397</v>
      </c>
      <c r="AC445" s="39" t="s">
        <v>397</v>
      </c>
      <c r="AD445" s="39" t="s">
        <v>397</v>
      </c>
      <c r="AE445" s="39" t="s">
        <v>397</v>
      </c>
      <c r="AF445" s="39" t="s">
        <v>397</v>
      </c>
      <c r="AG445" s="4"/>
    </row>
    <row r="446" spans="1:33">
      <c r="A446" s="33" t="s">
        <v>698</v>
      </c>
      <c r="B446" s="4" t="s">
        <v>711</v>
      </c>
      <c r="C446" s="4">
        <v>20</v>
      </c>
      <c r="D446" s="4" t="s">
        <v>54</v>
      </c>
      <c r="F446" s="4" t="s">
        <v>700</v>
      </c>
      <c r="G446" s="19">
        <v>45540</v>
      </c>
      <c r="H446" s="19">
        <v>45366</v>
      </c>
      <c r="I446" s="19">
        <v>45550</v>
      </c>
      <c r="J446" s="34">
        <f t="shared" si="22"/>
        <v>185</v>
      </c>
      <c r="O446" s="4"/>
      <c r="W446" s="4" t="s">
        <v>51</v>
      </c>
      <c r="X446" s="4" t="s">
        <v>51</v>
      </c>
      <c r="Y446" s="4"/>
      <c r="Z446" s="4"/>
      <c r="AA446" s="39" t="s">
        <v>397</v>
      </c>
      <c r="AB446" s="39" t="s">
        <v>397</v>
      </c>
      <c r="AC446" s="39" t="s">
        <v>397</v>
      </c>
      <c r="AD446" s="39" t="s">
        <v>397</v>
      </c>
      <c r="AE446" s="39" t="s">
        <v>397</v>
      </c>
      <c r="AF446" s="39" t="s">
        <v>397</v>
      </c>
      <c r="AG446" s="4"/>
    </row>
    <row r="447" spans="1:33">
      <c r="A447" s="33" t="s">
        <v>698</v>
      </c>
      <c r="B447" s="4" t="s">
        <v>712</v>
      </c>
      <c r="C447" s="4">
        <v>53</v>
      </c>
      <c r="D447" s="4" t="s">
        <v>48</v>
      </c>
      <c r="F447" s="4" t="s">
        <v>700</v>
      </c>
      <c r="G447" s="19">
        <v>45576</v>
      </c>
      <c r="H447" s="19">
        <v>45397</v>
      </c>
      <c r="I447" s="19">
        <v>45672</v>
      </c>
      <c r="J447" s="34">
        <f t="shared" si="22"/>
        <v>276</v>
      </c>
      <c r="O447" s="4"/>
      <c r="W447" s="4" t="s">
        <v>51</v>
      </c>
      <c r="X447" s="4" t="s">
        <v>51</v>
      </c>
      <c r="Y447" s="4"/>
      <c r="Z447" s="4"/>
      <c r="AA447" s="39" t="s">
        <v>397</v>
      </c>
      <c r="AB447" s="39" t="s">
        <v>397</v>
      </c>
      <c r="AC447" s="39" t="s">
        <v>397</v>
      </c>
      <c r="AD447" s="39" t="s">
        <v>397</v>
      </c>
      <c r="AE447" s="39" t="s">
        <v>397</v>
      </c>
      <c r="AF447" s="39" t="s">
        <v>397</v>
      </c>
      <c r="AG447" s="4"/>
    </row>
    <row r="448" spans="1:33">
      <c r="A448" s="33" t="s">
        <v>698</v>
      </c>
      <c r="B448" s="4" t="s">
        <v>713</v>
      </c>
      <c r="C448" s="4">
        <v>48</v>
      </c>
      <c r="D448" s="4" t="s">
        <v>48</v>
      </c>
      <c r="F448" s="4" t="s">
        <v>700</v>
      </c>
      <c r="G448" s="19">
        <v>45576</v>
      </c>
      <c r="H448" s="19">
        <v>45401</v>
      </c>
      <c r="I448" s="19">
        <v>45676</v>
      </c>
      <c r="J448" s="34">
        <f t="shared" si="22"/>
        <v>276</v>
      </c>
      <c r="O448" s="4"/>
      <c r="W448" s="4" t="s">
        <v>51</v>
      </c>
      <c r="X448" s="4" t="s">
        <v>51</v>
      </c>
      <c r="Y448" s="4"/>
      <c r="Z448" s="4"/>
      <c r="AA448" s="39" t="s">
        <v>397</v>
      </c>
      <c r="AB448" s="39" t="s">
        <v>397</v>
      </c>
      <c r="AC448" s="39" t="s">
        <v>397</v>
      </c>
      <c r="AD448" s="39" t="s">
        <v>397</v>
      </c>
      <c r="AE448" s="39" t="s">
        <v>397</v>
      </c>
      <c r="AF448" s="39" t="s">
        <v>397</v>
      </c>
      <c r="AG448" s="4"/>
    </row>
    <row r="449" spans="1:33">
      <c r="A449" s="33" t="s">
        <v>698</v>
      </c>
      <c r="B449" s="4" t="s">
        <v>714</v>
      </c>
      <c r="C449" s="4">
        <v>28</v>
      </c>
      <c r="D449" s="4" t="s">
        <v>54</v>
      </c>
      <c r="F449" s="4" t="s">
        <v>700</v>
      </c>
      <c r="G449" s="19">
        <v>45576</v>
      </c>
      <c r="H449" s="19">
        <v>45406</v>
      </c>
      <c r="I449" s="19">
        <v>45589</v>
      </c>
      <c r="J449" s="34">
        <f t="shared" si="22"/>
        <v>184</v>
      </c>
      <c r="O449" s="4"/>
      <c r="W449" s="4" t="s">
        <v>51</v>
      </c>
      <c r="X449" s="4" t="s">
        <v>51</v>
      </c>
      <c r="Y449" s="4"/>
      <c r="Z449" s="4"/>
      <c r="AG449" s="4"/>
    </row>
    <row r="450" spans="1:33">
      <c r="A450" s="33" t="s">
        <v>698</v>
      </c>
      <c r="B450" s="4" t="s">
        <v>715</v>
      </c>
      <c r="C450" s="4">
        <v>72</v>
      </c>
      <c r="D450" s="4" t="s">
        <v>54</v>
      </c>
      <c r="F450" s="4" t="s">
        <v>700</v>
      </c>
      <c r="G450" s="19">
        <v>45576</v>
      </c>
      <c r="H450" s="19">
        <v>45410</v>
      </c>
      <c r="I450" s="19">
        <v>45685</v>
      </c>
      <c r="J450" s="34">
        <f t="shared" si="22"/>
        <v>276</v>
      </c>
      <c r="O450" s="4"/>
      <c r="W450" s="4" t="s">
        <v>51</v>
      </c>
      <c r="X450" s="4" t="s">
        <v>51</v>
      </c>
      <c r="Y450" s="4"/>
      <c r="Z450" s="4"/>
      <c r="AG450" s="4"/>
    </row>
    <row r="451" spans="1:33">
      <c r="A451" s="33" t="s">
        <v>698</v>
      </c>
      <c r="B451" s="4" t="s">
        <v>716</v>
      </c>
      <c r="C451" s="4">
        <v>33</v>
      </c>
      <c r="D451" s="4" t="s">
        <v>48</v>
      </c>
      <c r="F451" s="4" t="s">
        <v>700</v>
      </c>
      <c r="G451" s="19">
        <v>45618</v>
      </c>
      <c r="H451" s="19">
        <v>45428</v>
      </c>
      <c r="I451" s="19">
        <v>45612</v>
      </c>
      <c r="J451" s="34">
        <f t="shared" si="22"/>
        <v>185</v>
      </c>
      <c r="O451" s="4"/>
      <c r="W451" s="4" t="s">
        <v>51</v>
      </c>
      <c r="X451" s="4" t="s">
        <v>51</v>
      </c>
      <c r="Y451" s="4" t="s">
        <v>51</v>
      </c>
      <c r="Z451" s="4"/>
      <c r="AA451" s="39" t="s">
        <v>397</v>
      </c>
      <c r="AB451" s="39" t="s">
        <v>397</v>
      </c>
      <c r="AC451" s="39" t="s">
        <v>397</v>
      </c>
      <c r="AD451" s="39" t="s">
        <v>397</v>
      </c>
      <c r="AE451" s="39" t="s">
        <v>397</v>
      </c>
      <c r="AF451" s="39" t="s">
        <v>397</v>
      </c>
      <c r="AG451" s="4"/>
    </row>
    <row r="452" spans="1:33">
      <c r="A452" s="33" t="s">
        <v>698</v>
      </c>
      <c r="B452" s="4" t="s">
        <v>717</v>
      </c>
      <c r="C452" s="4">
        <v>30</v>
      </c>
      <c r="D452" s="4" t="s">
        <v>48</v>
      </c>
      <c r="F452" s="4" t="s">
        <v>700</v>
      </c>
      <c r="G452" s="19">
        <v>45618</v>
      </c>
      <c r="H452" s="19">
        <v>45434</v>
      </c>
      <c r="I452" s="19">
        <v>45618</v>
      </c>
      <c r="J452" s="34">
        <f t="shared" si="22"/>
        <v>185</v>
      </c>
      <c r="O452" s="4"/>
      <c r="W452" s="4" t="s">
        <v>51</v>
      </c>
      <c r="X452" s="4" t="s">
        <v>51</v>
      </c>
      <c r="Y452" s="4"/>
      <c r="Z452" s="4"/>
      <c r="AA452" s="39" t="s">
        <v>397</v>
      </c>
      <c r="AB452" s="39" t="s">
        <v>397</v>
      </c>
      <c r="AC452" s="39" t="s">
        <v>397</v>
      </c>
      <c r="AD452" s="39" t="s">
        <v>397</v>
      </c>
      <c r="AE452" s="39" t="s">
        <v>397</v>
      </c>
      <c r="AF452" s="39" t="s">
        <v>397</v>
      </c>
      <c r="AG452" s="4"/>
    </row>
    <row r="453" spans="1:33">
      <c r="A453" s="33" t="s">
        <v>698</v>
      </c>
      <c r="B453" s="4" t="s">
        <v>718</v>
      </c>
      <c r="C453" s="4">
        <v>20</v>
      </c>
      <c r="D453" s="4" t="s">
        <v>48</v>
      </c>
      <c r="F453" s="4" t="s">
        <v>700</v>
      </c>
      <c r="G453" s="19">
        <v>45618</v>
      </c>
      <c r="H453" s="19">
        <v>45434</v>
      </c>
      <c r="I453" s="19">
        <v>45618</v>
      </c>
      <c r="J453" s="34">
        <f t="shared" si="22"/>
        <v>185</v>
      </c>
      <c r="O453" s="4"/>
      <c r="W453" s="4" t="s">
        <v>51</v>
      </c>
      <c r="X453" s="4" t="s">
        <v>51</v>
      </c>
      <c r="Y453" s="4" t="s">
        <v>51</v>
      </c>
      <c r="Z453" s="4"/>
      <c r="AA453" s="39" t="s">
        <v>397</v>
      </c>
      <c r="AB453" s="39" t="s">
        <v>397</v>
      </c>
      <c r="AC453" s="39" t="s">
        <v>397</v>
      </c>
      <c r="AD453" s="39" t="s">
        <v>397</v>
      </c>
      <c r="AE453" s="39" t="s">
        <v>397</v>
      </c>
      <c r="AF453" s="39" t="s">
        <v>397</v>
      </c>
      <c r="AG453" s="4"/>
    </row>
    <row r="454" spans="1:33">
      <c r="A454" s="33" t="s">
        <v>698</v>
      </c>
      <c r="B454" s="4" t="s">
        <v>719</v>
      </c>
      <c r="C454" s="4">
        <v>54</v>
      </c>
      <c r="D454" s="4" t="s">
        <v>54</v>
      </c>
      <c r="F454" s="4" t="s">
        <v>700</v>
      </c>
      <c r="G454" s="19">
        <v>45618</v>
      </c>
      <c r="H454" s="19">
        <v>45443</v>
      </c>
      <c r="I454" s="19">
        <v>45626</v>
      </c>
      <c r="J454" s="34">
        <f t="shared" si="22"/>
        <v>184</v>
      </c>
      <c r="O454" s="4"/>
      <c r="W454" s="4" t="s">
        <v>51</v>
      </c>
      <c r="X454" s="4" t="s">
        <v>51</v>
      </c>
      <c r="Y454" s="4"/>
      <c r="Z454" s="4"/>
      <c r="AA454" s="39" t="s">
        <v>397</v>
      </c>
      <c r="AB454" s="39" t="s">
        <v>397</v>
      </c>
      <c r="AC454" s="39" t="s">
        <v>397</v>
      </c>
      <c r="AD454" s="39" t="s">
        <v>397</v>
      </c>
      <c r="AE454" s="39" t="s">
        <v>397</v>
      </c>
      <c r="AF454" s="39" t="s">
        <v>397</v>
      </c>
      <c r="AG454" s="4"/>
    </row>
    <row r="455" spans="1:33">
      <c r="A455" s="33" t="s">
        <v>698</v>
      </c>
      <c r="B455" s="4" t="s">
        <v>720</v>
      </c>
      <c r="C455" s="4">
        <v>71</v>
      </c>
      <c r="D455" s="4" t="s">
        <v>54</v>
      </c>
      <c r="F455" s="4" t="s">
        <v>700</v>
      </c>
      <c r="G455" s="19">
        <v>45618</v>
      </c>
      <c r="H455" s="19">
        <v>45448</v>
      </c>
      <c r="I455" s="19"/>
      <c r="J455" s="34" t="str">
        <f t="shared" si="22"/>
        <v/>
      </c>
      <c r="O455" s="4"/>
      <c r="W455" s="4"/>
      <c r="X455" s="4"/>
      <c r="Y455" s="4"/>
      <c r="Z455" s="4"/>
      <c r="AA455" s="39"/>
      <c r="AB455" s="39"/>
      <c r="AC455" s="39"/>
      <c r="AD455" s="39"/>
      <c r="AE455" s="39"/>
      <c r="AF455" s="39"/>
      <c r="AG455" s="4" t="s">
        <v>123</v>
      </c>
    </row>
    <row r="456" spans="1:33">
      <c r="A456" s="33" t="s">
        <v>698</v>
      </c>
      <c r="B456" s="4" t="s">
        <v>721</v>
      </c>
      <c r="C456" s="4">
        <v>31</v>
      </c>
      <c r="D456" s="4" t="s">
        <v>48</v>
      </c>
      <c r="F456" s="4" t="s">
        <v>700</v>
      </c>
      <c r="G456" s="19"/>
      <c r="H456" s="19">
        <v>45476</v>
      </c>
      <c r="I456" s="19"/>
      <c r="J456" s="34" t="str">
        <f t="shared" si="22"/>
        <v/>
      </c>
      <c r="O456" s="4"/>
      <c r="W456" s="4"/>
      <c r="X456" s="4"/>
      <c r="Y456" s="4"/>
      <c r="Z456" s="4"/>
      <c r="AA456" s="39"/>
      <c r="AB456" s="39"/>
      <c r="AC456" s="39"/>
      <c r="AD456" s="39"/>
      <c r="AE456" s="39"/>
      <c r="AF456" s="39"/>
      <c r="AG456" s="4" t="s">
        <v>123</v>
      </c>
    </row>
    <row r="457" spans="1:33">
      <c r="A457" s="33" t="s">
        <v>698</v>
      </c>
      <c r="B457" s="4" t="s">
        <v>722</v>
      </c>
      <c r="C457" s="4">
        <v>58</v>
      </c>
      <c r="D457" s="4" t="s">
        <v>48</v>
      </c>
      <c r="F457" s="4" t="s">
        <v>723</v>
      </c>
      <c r="G457" s="19">
        <v>45511</v>
      </c>
      <c r="H457" s="19">
        <v>45296</v>
      </c>
      <c r="I457" s="19">
        <v>45570</v>
      </c>
      <c r="J457" s="34">
        <f t="shared" si="22"/>
        <v>275</v>
      </c>
      <c r="O457" s="4"/>
      <c r="W457" s="4" t="s">
        <v>51</v>
      </c>
      <c r="X457" s="4" t="s">
        <v>51</v>
      </c>
      <c r="Y457" s="4"/>
      <c r="Z457" s="4"/>
      <c r="AA457" s="39" t="s">
        <v>397</v>
      </c>
      <c r="AB457" s="39" t="s">
        <v>397</v>
      </c>
      <c r="AC457" s="39" t="s">
        <v>397</v>
      </c>
      <c r="AD457" s="39" t="s">
        <v>397</v>
      </c>
      <c r="AE457" s="39" t="s">
        <v>397</v>
      </c>
      <c r="AF457" s="39" t="s">
        <v>397</v>
      </c>
      <c r="AG457" s="4"/>
    </row>
    <row r="458" spans="1:33">
      <c r="A458" s="33" t="s">
        <v>698</v>
      </c>
      <c r="B458" s="4" t="s">
        <v>724</v>
      </c>
      <c r="C458" s="4">
        <v>73</v>
      </c>
      <c r="D458" s="4" t="s">
        <v>48</v>
      </c>
      <c r="F458" s="4" t="s">
        <v>723</v>
      </c>
      <c r="G458" s="19">
        <v>45540</v>
      </c>
      <c r="H458" s="19">
        <v>45377</v>
      </c>
      <c r="I458" s="19">
        <v>45652</v>
      </c>
      <c r="J458" s="34">
        <f t="shared" si="22"/>
        <v>276</v>
      </c>
      <c r="O458" s="4"/>
      <c r="W458" s="4" t="s">
        <v>51</v>
      </c>
      <c r="X458" s="4" t="s">
        <v>51</v>
      </c>
      <c r="Y458" s="4"/>
      <c r="Z458" s="4"/>
      <c r="AA458" s="39" t="s">
        <v>397</v>
      </c>
      <c r="AB458" s="39" t="s">
        <v>397</v>
      </c>
      <c r="AC458" s="39" t="s">
        <v>397</v>
      </c>
      <c r="AD458" s="39" t="s">
        <v>397</v>
      </c>
      <c r="AE458" s="39" t="s">
        <v>397</v>
      </c>
      <c r="AF458" s="39" t="s">
        <v>397</v>
      </c>
      <c r="AG458" s="4"/>
    </row>
    <row r="459" spans="1:33">
      <c r="A459" s="33" t="s">
        <v>698</v>
      </c>
      <c r="B459" s="4" t="s">
        <v>725</v>
      </c>
      <c r="C459" s="4">
        <v>48</v>
      </c>
      <c r="D459" s="4" t="s">
        <v>48</v>
      </c>
      <c r="F459" s="4" t="s">
        <v>723</v>
      </c>
      <c r="G459" s="19"/>
      <c r="H459" s="19">
        <v>45436</v>
      </c>
      <c r="I459" s="19" t="s">
        <v>726</v>
      </c>
      <c r="J459" s="34" t="e">
        <f t="shared" si="22"/>
        <v>#VALUE!</v>
      </c>
      <c r="O459" s="4"/>
      <c r="W459" s="4"/>
      <c r="X459" s="4"/>
      <c r="Y459" s="4"/>
      <c r="Z459" s="4"/>
      <c r="AA459" s="39"/>
      <c r="AB459" s="39"/>
      <c r="AC459" s="39"/>
      <c r="AD459" s="39"/>
      <c r="AE459" s="39"/>
      <c r="AF459" s="39"/>
      <c r="AG459" s="4" t="s">
        <v>123</v>
      </c>
    </row>
    <row r="460" ht="27" spans="1:33">
      <c r="A460" s="33" t="s">
        <v>698</v>
      </c>
      <c r="B460" s="4" t="s">
        <v>727</v>
      </c>
      <c r="C460" s="4">
        <v>55</v>
      </c>
      <c r="D460" s="4" t="s">
        <v>48</v>
      </c>
      <c r="F460" s="4" t="s">
        <v>723</v>
      </c>
      <c r="G460" s="19"/>
      <c r="H460" s="19">
        <v>45464</v>
      </c>
      <c r="I460" s="19" t="s">
        <v>728</v>
      </c>
      <c r="J460" s="34" t="e">
        <f t="shared" si="22"/>
        <v>#VALUE!</v>
      </c>
      <c r="O460" s="4"/>
      <c r="W460" s="4"/>
      <c r="X460" s="4"/>
      <c r="Y460" s="4"/>
      <c r="Z460" s="4"/>
      <c r="AA460" s="39"/>
      <c r="AB460" s="39"/>
      <c r="AC460" s="39"/>
      <c r="AD460" s="39"/>
      <c r="AE460" s="39"/>
      <c r="AF460" s="39"/>
      <c r="AG460" s="4" t="s">
        <v>386</v>
      </c>
    </row>
    <row r="461" spans="1:33">
      <c r="A461" s="33" t="s">
        <v>698</v>
      </c>
      <c r="B461" s="4" t="s">
        <v>729</v>
      </c>
      <c r="C461" s="4">
        <v>26</v>
      </c>
      <c r="D461" s="4" t="s">
        <v>48</v>
      </c>
      <c r="F461" s="4" t="s">
        <v>730</v>
      </c>
      <c r="G461" s="19"/>
      <c r="H461" s="19">
        <v>45282</v>
      </c>
      <c r="I461" s="19">
        <v>45557</v>
      </c>
      <c r="J461" s="34">
        <f t="shared" si="22"/>
        <v>276</v>
      </c>
      <c r="O461" s="4"/>
      <c r="W461" s="4" t="s">
        <v>51</v>
      </c>
      <c r="X461" s="4" t="s">
        <v>51</v>
      </c>
      <c r="Y461" s="4"/>
      <c r="Z461" s="4"/>
      <c r="AA461" s="39" t="s">
        <v>397</v>
      </c>
      <c r="AB461" s="39" t="s">
        <v>397</v>
      </c>
      <c r="AC461" s="39" t="s">
        <v>397</v>
      </c>
      <c r="AD461" s="39" t="s">
        <v>397</v>
      </c>
      <c r="AE461" s="39" t="s">
        <v>397</v>
      </c>
      <c r="AF461" s="39" t="s">
        <v>397</v>
      </c>
      <c r="AG461" s="4"/>
    </row>
    <row r="462" spans="1:33">
      <c r="A462" s="33" t="s">
        <v>698</v>
      </c>
      <c r="B462" s="4" t="s">
        <v>731</v>
      </c>
      <c r="C462" s="4">
        <v>60</v>
      </c>
      <c r="D462" s="4" t="s">
        <v>48</v>
      </c>
      <c r="F462" s="4" t="s">
        <v>730</v>
      </c>
      <c r="G462" s="19"/>
      <c r="H462" s="19">
        <v>45377</v>
      </c>
      <c r="I462" s="19">
        <v>45652</v>
      </c>
      <c r="J462" s="34">
        <f t="shared" si="22"/>
        <v>276</v>
      </c>
      <c r="O462" s="4"/>
      <c r="W462" s="4" t="s">
        <v>51</v>
      </c>
      <c r="X462" s="4" t="s">
        <v>51</v>
      </c>
      <c r="Y462" s="4" t="s">
        <v>51</v>
      </c>
      <c r="Z462" s="4"/>
      <c r="AA462" s="39" t="s">
        <v>397</v>
      </c>
      <c r="AB462" s="39" t="s">
        <v>397</v>
      </c>
      <c r="AC462" s="39" t="s">
        <v>397</v>
      </c>
      <c r="AD462" s="39" t="s">
        <v>397</v>
      </c>
      <c r="AE462" s="39" t="s">
        <v>397</v>
      </c>
      <c r="AF462" s="39" t="s">
        <v>397</v>
      </c>
      <c r="AG462" s="4"/>
    </row>
    <row r="463" spans="1:33">
      <c r="A463" s="33" t="s">
        <v>698</v>
      </c>
      <c r="B463" s="4" t="s">
        <v>732</v>
      </c>
      <c r="C463" s="4">
        <v>52</v>
      </c>
      <c r="D463" s="4" t="s">
        <v>48</v>
      </c>
      <c r="F463" s="4" t="s">
        <v>730</v>
      </c>
      <c r="G463" s="19"/>
      <c r="H463" s="19">
        <v>45396</v>
      </c>
      <c r="I463" s="19">
        <v>45671</v>
      </c>
      <c r="J463" s="34">
        <f t="shared" si="22"/>
        <v>276</v>
      </c>
      <c r="O463" s="4"/>
      <c r="W463" s="4" t="s">
        <v>51</v>
      </c>
      <c r="X463" s="4" t="s">
        <v>51</v>
      </c>
      <c r="Y463" s="4"/>
      <c r="Z463" s="4"/>
      <c r="AA463" s="39" t="s">
        <v>397</v>
      </c>
      <c r="AB463" s="39" t="s">
        <v>397</v>
      </c>
      <c r="AC463" s="39" t="s">
        <v>397</v>
      </c>
      <c r="AD463" s="39" t="s">
        <v>397</v>
      </c>
      <c r="AE463" s="39" t="s">
        <v>397</v>
      </c>
      <c r="AF463" s="39" t="s">
        <v>397</v>
      </c>
      <c r="AG463" s="4"/>
    </row>
    <row r="464" spans="1:33">
      <c r="A464" s="33" t="s">
        <v>698</v>
      </c>
      <c r="B464" s="4" t="s">
        <v>733</v>
      </c>
      <c r="C464" s="4">
        <v>66</v>
      </c>
      <c r="D464" s="4" t="s">
        <v>54</v>
      </c>
      <c r="F464" s="4" t="s">
        <v>730</v>
      </c>
      <c r="G464" s="19"/>
      <c r="H464" s="19">
        <v>45401</v>
      </c>
      <c r="I464" s="19">
        <v>45676</v>
      </c>
      <c r="J464" s="34">
        <f t="shared" si="22"/>
        <v>276</v>
      </c>
      <c r="O464" s="4"/>
      <c r="W464" s="4" t="s">
        <v>51</v>
      </c>
      <c r="X464" s="4" t="s">
        <v>51</v>
      </c>
      <c r="Y464" s="4" t="s">
        <v>51</v>
      </c>
      <c r="Z464" s="4"/>
      <c r="AA464" s="39" t="s">
        <v>397</v>
      </c>
      <c r="AB464" s="39" t="s">
        <v>397</v>
      </c>
      <c r="AC464" s="39" t="s">
        <v>397</v>
      </c>
      <c r="AD464" s="39" t="s">
        <v>397</v>
      </c>
      <c r="AE464" s="39" t="s">
        <v>397</v>
      </c>
      <c r="AF464" s="39" t="s">
        <v>397</v>
      </c>
      <c r="AG464" s="4"/>
    </row>
    <row r="465" spans="1:33">
      <c r="A465" s="33" t="s">
        <v>698</v>
      </c>
      <c r="B465" s="4" t="s">
        <v>734</v>
      </c>
      <c r="C465" s="4">
        <v>27</v>
      </c>
      <c r="D465" s="4" t="s">
        <v>48</v>
      </c>
      <c r="F465" s="4" t="s">
        <v>730</v>
      </c>
      <c r="G465" s="19"/>
      <c r="H465" s="19">
        <v>45468</v>
      </c>
      <c r="I465" s="19">
        <v>45741</v>
      </c>
      <c r="J465" s="34">
        <f t="shared" si="22"/>
        <v>274</v>
      </c>
      <c r="O465" s="4"/>
      <c r="W465" s="4" t="s">
        <v>51</v>
      </c>
      <c r="X465" s="4" t="s">
        <v>51</v>
      </c>
      <c r="Y465" s="4" t="s">
        <v>51</v>
      </c>
      <c r="Z465" s="4"/>
      <c r="AA465" s="39" t="s">
        <v>397</v>
      </c>
      <c r="AB465" s="39" t="s">
        <v>397</v>
      </c>
      <c r="AC465" s="39" t="s">
        <v>397</v>
      </c>
      <c r="AD465" s="39" t="s">
        <v>397</v>
      </c>
      <c r="AE465" s="39" t="s">
        <v>397</v>
      </c>
      <c r="AF465" s="39" t="s">
        <v>397</v>
      </c>
      <c r="AG465" s="4"/>
    </row>
    <row r="466" spans="1:33">
      <c r="A466" s="33" t="s">
        <v>698</v>
      </c>
      <c r="B466" s="4" t="s">
        <v>735</v>
      </c>
      <c r="C466" s="4">
        <v>63</v>
      </c>
      <c r="D466" s="4" t="s">
        <v>48</v>
      </c>
      <c r="F466" s="4" t="s">
        <v>730</v>
      </c>
      <c r="G466" s="19"/>
      <c r="H466" s="19">
        <v>45469</v>
      </c>
      <c r="I466" s="19">
        <v>45742</v>
      </c>
      <c r="J466" s="34">
        <f t="shared" si="22"/>
        <v>274</v>
      </c>
      <c r="O466" s="4"/>
      <c r="W466" s="4" t="s">
        <v>51</v>
      </c>
      <c r="X466" s="4" t="s">
        <v>51</v>
      </c>
      <c r="Y466" s="4"/>
      <c r="Z466" s="4"/>
      <c r="AA466" s="39" t="s">
        <v>397</v>
      </c>
      <c r="AB466" s="39" t="s">
        <v>397</v>
      </c>
      <c r="AC466" s="39" t="s">
        <v>397</v>
      </c>
      <c r="AD466" s="39" t="s">
        <v>397</v>
      </c>
      <c r="AE466" s="39" t="s">
        <v>397</v>
      </c>
      <c r="AF466" s="39" t="s">
        <v>397</v>
      </c>
      <c r="AG466" s="4"/>
    </row>
    <row r="467" spans="1:33">
      <c r="A467" s="33" t="s">
        <v>736</v>
      </c>
      <c r="B467" s="4" t="s">
        <v>737</v>
      </c>
      <c r="C467" s="4">
        <v>68</v>
      </c>
      <c r="D467" s="4" t="s">
        <v>48</v>
      </c>
      <c r="F467" s="4" t="s">
        <v>49</v>
      </c>
      <c r="G467" s="19">
        <v>45818</v>
      </c>
      <c r="H467" s="19">
        <v>45636</v>
      </c>
      <c r="I467" s="19">
        <v>45913</v>
      </c>
      <c r="J467" s="34">
        <f t="shared" ref="J467:J530" si="23">IF(AND(H467&lt;&gt;"",I467&lt;&gt;""),I467-H467+1,"")</f>
        <v>278</v>
      </c>
      <c r="O467" s="4" t="s">
        <v>50</v>
      </c>
      <c r="P467" s="35"/>
      <c r="Q467" s="40"/>
      <c r="R467" s="37" t="str">
        <f t="shared" ref="R467:R528" si="24">IF(AND(P467&lt;&gt;"",Q467&lt;&gt;""),P467/(Q467/100)^2,"")</f>
        <v/>
      </c>
      <c r="S467" s="4"/>
      <c r="T467" s="41"/>
      <c r="U467" s="41"/>
      <c r="V467" s="4"/>
      <c r="W467" s="4" t="s">
        <v>51</v>
      </c>
      <c r="X467" s="4" t="s">
        <v>51</v>
      </c>
      <c r="Y467" s="4" t="s">
        <v>738</v>
      </c>
      <c r="Z467" s="4" t="s">
        <v>739</v>
      </c>
      <c r="AA467" s="39" t="s">
        <v>52</v>
      </c>
      <c r="AB467" s="39"/>
      <c r="AC467" s="39" t="s">
        <v>52</v>
      </c>
      <c r="AD467" s="39"/>
      <c r="AE467" s="39"/>
      <c r="AF467" s="39"/>
      <c r="AG467" s="4"/>
    </row>
    <row r="468" spans="1:33">
      <c r="A468" s="33" t="s">
        <v>736</v>
      </c>
      <c r="B468" s="4" t="s">
        <v>740</v>
      </c>
      <c r="C468" s="4">
        <v>54</v>
      </c>
      <c r="D468" s="4" t="s">
        <v>48</v>
      </c>
      <c r="F468" s="4" t="s">
        <v>49</v>
      </c>
      <c r="G468" s="19"/>
      <c r="H468" s="19">
        <v>45597</v>
      </c>
      <c r="I468" s="19">
        <v>45778</v>
      </c>
      <c r="J468" s="34">
        <f t="shared" si="23"/>
        <v>182</v>
      </c>
      <c r="O468" s="4" t="s">
        <v>50</v>
      </c>
      <c r="P468" s="35"/>
      <c r="Q468" s="40"/>
      <c r="R468" s="37" t="str">
        <f t="shared" si="24"/>
        <v/>
      </c>
      <c r="S468" s="4"/>
      <c r="T468" s="41"/>
      <c r="U468" s="41"/>
      <c r="V468" s="4"/>
      <c r="W468" s="4" t="s">
        <v>51</v>
      </c>
      <c r="X468" s="4" t="s">
        <v>51</v>
      </c>
      <c r="Y468" s="4" t="s">
        <v>51</v>
      </c>
      <c r="Z468" s="4" t="s">
        <v>739</v>
      </c>
      <c r="AA468" s="39" t="s">
        <v>52</v>
      </c>
      <c r="AB468" s="39"/>
      <c r="AC468" s="39" t="s">
        <v>52</v>
      </c>
      <c r="AD468" s="39"/>
      <c r="AE468" s="39"/>
      <c r="AF468" s="39"/>
      <c r="AG468" s="4"/>
    </row>
    <row r="469" spans="1:33">
      <c r="A469" s="33" t="s">
        <v>736</v>
      </c>
      <c r="B469" s="4" t="s">
        <v>741</v>
      </c>
      <c r="C469" s="4">
        <v>68</v>
      </c>
      <c r="D469" s="4" t="s">
        <v>48</v>
      </c>
      <c r="F469" s="4" t="s">
        <v>49</v>
      </c>
      <c r="G469" s="19">
        <v>45770</v>
      </c>
      <c r="H469" s="19">
        <v>45597</v>
      </c>
      <c r="I469" s="19">
        <v>46226</v>
      </c>
      <c r="J469" s="34">
        <f t="shared" si="23"/>
        <v>630</v>
      </c>
      <c r="O469" s="4" t="s">
        <v>50</v>
      </c>
      <c r="P469" s="35"/>
      <c r="Q469" s="40"/>
      <c r="R469" s="37" t="str">
        <f t="shared" si="24"/>
        <v/>
      </c>
      <c r="S469" s="4"/>
      <c r="T469" s="41"/>
      <c r="U469" s="41"/>
      <c r="V469" s="4"/>
      <c r="W469" s="4" t="s">
        <v>51</v>
      </c>
      <c r="X469" s="4" t="s">
        <v>51</v>
      </c>
      <c r="Y469" s="4" t="s">
        <v>738</v>
      </c>
      <c r="Z469" s="4" t="s">
        <v>739</v>
      </c>
      <c r="AA469" s="39" t="s">
        <v>52</v>
      </c>
      <c r="AB469" s="39"/>
      <c r="AC469" s="39" t="s">
        <v>52</v>
      </c>
      <c r="AD469" s="39"/>
      <c r="AE469" s="39"/>
      <c r="AF469" s="39"/>
      <c r="AG469" s="4"/>
    </row>
    <row r="470" spans="1:33">
      <c r="A470" s="33" t="s">
        <v>736</v>
      </c>
      <c r="B470" s="4" t="s">
        <v>742</v>
      </c>
      <c r="C470" s="4">
        <v>44</v>
      </c>
      <c r="D470" s="4" t="s">
        <v>48</v>
      </c>
      <c r="F470" s="4" t="s">
        <v>64</v>
      </c>
      <c r="G470" s="19"/>
      <c r="H470" s="19">
        <v>45480</v>
      </c>
      <c r="I470" s="19">
        <v>45757</v>
      </c>
      <c r="J470" s="34">
        <f t="shared" si="23"/>
        <v>278</v>
      </c>
      <c r="O470" s="4" t="s">
        <v>50</v>
      </c>
      <c r="P470" s="35"/>
      <c r="Q470" s="40"/>
      <c r="R470" s="37" t="str">
        <f t="shared" si="24"/>
        <v/>
      </c>
      <c r="S470" s="4"/>
      <c r="T470" s="41"/>
      <c r="U470" s="41"/>
      <c r="V470" s="4"/>
      <c r="W470" s="4" t="s">
        <v>50</v>
      </c>
      <c r="X470" s="4" t="s">
        <v>51</v>
      </c>
      <c r="Y470" s="4" t="s">
        <v>140</v>
      </c>
      <c r="Z470" s="4"/>
      <c r="AA470" s="39" t="s">
        <v>52</v>
      </c>
      <c r="AB470" s="39"/>
      <c r="AC470" s="39" t="s">
        <v>52</v>
      </c>
      <c r="AD470" s="39"/>
      <c r="AE470" s="39"/>
      <c r="AF470" s="39"/>
      <c r="AG470" s="4" t="s">
        <v>123</v>
      </c>
    </row>
    <row r="471" spans="1:33">
      <c r="A471" s="33" t="s">
        <v>736</v>
      </c>
      <c r="B471" s="4" t="s">
        <v>743</v>
      </c>
      <c r="C471" s="4">
        <v>40</v>
      </c>
      <c r="D471" s="4" t="s">
        <v>54</v>
      </c>
      <c r="F471" s="4" t="s">
        <v>56</v>
      </c>
      <c r="G471" s="19"/>
      <c r="H471" s="19">
        <v>45576</v>
      </c>
      <c r="I471" s="19">
        <v>45758</v>
      </c>
      <c r="J471" s="34">
        <f t="shared" si="23"/>
        <v>183</v>
      </c>
      <c r="O471" s="4" t="s">
        <v>50</v>
      </c>
      <c r="P471" s="35"/>
      <c r="Q471" s="40"/>
      <c r="R471" s="37" t="str">
        <f t="shared" si="24"/>
        <v/>
      </c>
      <c r="S471" s="4"/>
      <c r="T471" s="41"/>
      <c r="U471" s="41"/>
      <c r="V471" s="4"/>
      <c r="W471" s="4" t="s">
        <v>51</v>
      </c>
      <c r="X471" s="4" t="s">
        <v>51</v>
      </c>
      <c r="Y471" s="4" t="s">
        <v>51</v>
      </c>
      <c r="Z471" s="4" t="s">
        <v>739</v>
      </c>
      <c r="AA471" s="39" t="s">
        <v>52</v>
      </c>
      <c r="AB471" s="39"/>
      <c r="AC471" s="39" t="s">
        <v>52</v>
      </c>
      <c r="AD471" s="39"/>
      <c r="AE471" s="39"/>
      <c r="AF471" s="39"/>
      <c r="AG471" s="4"/>
    </row>
    <row r="472" spans="1:33">
      <c r="A472" s="33" t="s">
        <v>736</v>
      </c>
      <c r="B472" s="4" t="s">
        <v>744</v>
      </c>
      <c r="C472" s="4">
        <v>25</v>
      </c>
      <c r="D472" s="4" t="s">
        <v>48</v>
      </c>
      <c r="F472" s="4" t="s">
        <v>49</v>
      </c>
      <c r="G472" s="19">
        <v>45653</v>
      </c>
      <c r="H472" s="19">
        <v>45469</v>
      </c>
      <c r="I472" s="19">
        <v>45652</v>
      </c>
      <c r="J472" s="34">
        <f t="shared" si="23"/>
        <v>184</v>
      </c>
      <c r="O472" s="4" t="s">
        <v>50</v>
      </c>
      <c r="P472" s="35"/>
      <c r="Q472" s="40"/>
      <c r="R472" s="37" t="str">
        <f t="shared" si="24"/>
        <v/>
      </c>
      <c r="S472" s="4"/>
      <c r="T472" s="41"/>
      <c r="U472" s="41"/>
      <c r="V472" s="4"/>
      <c r="W472" s="4" t="s">
        <v>51</v>
      </c>
      <c r="X472" s="4" t="s">
        <v>51</v>
      </c>
      <c r="Y472" s="4" t="s">
        <v>51</v>
      </c>
      <c r="Z472" s="4" t="s">
        <v>51</v>
      </c>
      <c r="AA472" s="39" t="s">
        <v>52</v>
      </c>
      <c r="AB472" s="39"/>
      <c r="AC472" s="39" t="s">
        <v>52</v>
      </c>
      <c r="AD472" s="39"/>
      <c r="AE472" s="39" t="s">
        <v>52</v>
      </c>
      <c r="AF472" s="39"/>
      <c r="AG472" s="4"/>
    </row>
    <row r="473" spans="1:33">
      <c r="A473" s="33" t="s">
        <v>736</v>
      </c>
      <c r="B473" s="4" t="s">
        <v>745</v>
      </c>
      <c r="C473" s="4">
        <v>34</v>
      </c>
      <c r="D473" s="4" t="s">
        <v>48</v>
      </c>
      <c r="F473" s="4" t="s">
        <v>49</v>
      </c>
      <c r="G473" s="19">
        <v>45653</v>
      </c>
      <c r="H473" s="19">
        <v>45461</v>
      </c>
      <c r="I473" s="19">
        <v>45644</v>
      </c>
      <c r="J473" s="34">
        <f t="shared" si="23"/>
        <v>184</v>
      </c>
      <c r="O473" s="4" t="s">
        <v>50</v>
      </c>
      <c r="P473" s="35"/>
      <c r="Q473" s="40"/>
      <c r="R473" s="37" t="str">
        <f t="shared" si="24"/>
        <v/>
      </c>
      <c r="S473" s="4"/>
      <c r="T473" s="41"/>
      <c r="U473" s="41"/>
      <c r="V473" s="4"/>
      <c r="W473" s="4" t="s">
        <v>51</v>
      </c>
      <c r="X473" s="4" t="s">
        <v>51</v>
      </c>
      <c r="Y473" s="4" t="s">
        <v>746</v>
      </c>
      <c r="Z473" s="4" t="s">
        <v>140</v>
      </c>
      <c r="AA473" s="39" t="s">
        <v>52</v>
      </c>
      <c r="AB473" s="39"/>
      <c r="AC473" s="39" t="s">
        <v>52</v>
      </c>
      <c r="AD473" s="39"/>
      <c r="AE473" s="39"/>
      <c r="AF473" s="39"/>
      <c r="AG473" s="4"/>
    </row>
    <row r="474" spans="1:33">
      <c r="A474" s="33" t="s">
        <v>736</v>
      </c>
      <c r="B474" s="4" t="s">
        <v>747</v>
      </c>
      <c r="C474" s="4">
        <v>34</v>
      </c>
      <c r="D474" s="4" t="s">
        <v>48</v>
      </c>
      <c r="F474" s="4" t="s">
        <v>64</v>
      </c>
      <c r="G474" s="19"/>
      <c r="H474" s="19">
        <v>45424</v>
      </c>
      <c r="I474" s="19">
        <v>45703</v>
      </c>
      <c r="J474" s="34">
        <f t="shared" si="23"/>
        <v>280</v>
      </c>
      <c r="O474" s="4" t="s">
        <v>50</v>
      </c>
      <c r="P474" s="35"/>
      <c r="Q474" s="40"/>
      <c r="R474" s="37" t="str">
        <f t="shared" si="24"/>
        <v/>
      </c>
      <c r="S474" s="4"/>
      <c r="T474" s="41"/>
      <c r="U474" s="41"/>
      <c r="V474" s="4"/>
      <c r="W474" s="4" t="s">
        <v>51</v>
      </c>
      <c r="X474" s="4" t="s">
        <v>51</v>
      </c>
      <c r="Y474" s="4" t="s">
        <v>140</v>
      </c>
      <c r="Z474" s="4"/>
      <c r="AA474" s="39" t="s">
        <v>52</v>
      </c>
      <c r="AB474" s="39"/>
      <c r="AC474" s="39"/>
      <c r="AD474" s="39"/>
      <c r="AE474" s="39"/>
      <c r="AF474" s="39"/>
      <c r="AG474" s="4" t="s">
        <v>123</v>
      </c>
    </row>
    <row r="475" spans="1:33">
      <c r="A475" s="33" t="s">
        <v>736</v>
      </c>
      <c r="B475" s="4" t="s">
        <v>748</v>
      </c>
      <c r="C475" s="4">
        <v>54</v>
      </c>
      <c r="D475" s="4" t="s">
        <v>48</v>
      </c>
      <c r="F475" s="4" t="s">
        <v>64</v>
      </c>
      <c r="G475" s="19"/>
      <c r="H475" s="19">
        <v>45377</v>
      </c>
      <c r="I475" s="19">
        <v>45652</v>
      </c>
      <c r="J475" s="34">
        <f t="shared" si="23"/>
        <v>276</v>
      </c>
      <c r="O475" s="4" t="s">
        <v>50</v>
      </c>
      <c r="P475" s="35"/>
      <c r="Q475" s="40"/>
      <c r="R475" s="37" t="str">
        <f t="shared" si="24"/>
        <v/>
      </c>
      <c r="S475" s="4"/>
      <c r="T475" s="41"/>
      <c r="U475" s="41"/>
      <c r="V475" s="4"/>
      <c r="W475" s="4" t="s">
        <v>51</v>
      </c>
      <c r="X475" s="4" t="s">
        <v>51</v>
      </c>
      <c r="Y475" s="4" t="s">
        <v>51</v>
      </c>
      <c r="Z475" s="4" t="s">
        <v>51</v>
      </c>
      <c r="AA475" s="39" t="s">
        <v>52</v>
      </c>
      <c r="AB475" s="39"/>
      <c r="AC475" s="39" t="s">
        <v>52</v>
      </c>
      <c r="AD475" s="39"/>
      <c r="AE475" s="39" t="s">
        <v>52</v>
      </c>
      <c r="AF475" s="39"/>
      <c r="AG475" s="4"/>
    </row>
    <row r="476" spans="1:33">
      <c r="A476" s="33" t="s">
        <v>736</v>
      </c>
      <c r="B476" s="4" t="s">
        <v>749</v>
      </c>
      <c r="C476" s="4">
        <v>49</v>
      </c>
      <c r="D476" s="4" t="s">
        <v>54</v>
      </c>
      <c r="F476" s="4" t="s">
        <v>82</v>
      </c>
      <c r="G476" s="19">
        <v>45659</v>
      </c>
      <c r="H476" s="19">
        <v>45315</v>
      </c>
      <c r="I476" s="19">
        <v>45592</v>
      </c>
      <c r="J476" s="34">
        <f t="shared" si="23"/>
        <v>278</v>
      </c>
      <c r="O476" s="4" t="s">
        <v>51</v>
      </c>
      <c r="P476" s="35"/>
      <c r="Q476" s="40"/>
      <c r="R476" s="37" t="str">
        <f t="shared" si="24"/>
        <v/>
      </c>
      <c r="S476" s="4"/>
      <c r="T476" s="41"/>
      <c r="U476" s="41"/>
      <c r="V476" s="4"/>
      <c r="W476" s="4" t="s">
        <v>51</v>
      </c>
      <c r="X476" s="4" t="s">
        <v>51</v>
      </c>
      <c r="Y476" s="4" t="s">
        <v>51</v>
      </c>
      <c r="Z476" s="4" t="s">
        <v>738</v>
      </c>
      <c r="AA476" s="39" t="s">
        <v>52</v>
      </c>
      <c r="AB476" s="39"/>
      <c r="AC476" s="39" t="s">
        <v>52</v>
      </c>
      <c r="AD476" s="39"/>
      <c r="AE476" s="39" t="s">
        <v>52</v>
      </c>
      <c r="AF476" s="39"/>
      <c r="AG476" s="4"/>
    </row>
    <row r="477" spans="1:33">
      <c r="A477" s="33" t="s">
        <v>736</v>
      </c>
      <c r="B477" s="4" t="s">
        <v>750</v>
      </c>
      <c r="C477" s="4">
        <v>44</v>
      </c>
      <c r="D477" s="4" t="s">
        <v>48</v>
      </c>
      <c r="F477" s="4" t="s">
        <v>49</v>
      </c>
      <c r="G477" s="19">
        <v>45573</v>
      </c>
      <c r="H477" s="19">
        <v>45388</v>
      </c>
      <c r="I477" s="19">
        <v>45571</v>
      </c>
      <c r="J477" s="34">
        <f t="shared" si="23"/>
        <v>184</v>
      </c>
      <c r="O477" s="4" t="s">
        <v>50</v>
      </c>
      <c r="P477" s="35"/>
      <c r="Q477" s="40"/>
      <c r="R477" s="37" t="str">
        <f t="shared" si="24"/>
        <v/>
      </c>
      <c r="S477" s="4"/>
      <c r="T477" s="41"/>
      <c r="U477" s="41"/>
      <c r="V477" s="4"/>
      <c r="W477" s="4" t="s">
        <v>51</v>
      </c>
      <c r="X477" s="4" t="s">
        <v>51</v>
      </c>
      <c r="Y477" s="4" t="s">
        <v>51</v>
      </c>
      <c r="Z477" s="4" t="s">
        <v>51</v>
      </c>
      <c r="AA477" s="39" t="s">
        <v>52</v>
      </c>
      <c r="AB477" s="39"/>
      <c r="AC477" s="39" t="s">
        <v>52</v>
      </c>
      <c r="AD477" s="39"/>
      <c r="AE477" s="39" t="s">
        <v>52</v>
      </c>
      <c r="AF477" s="39"/>
      <c r="AG477" s="4"/>
    </row>
    <row r="478" ht="16.5" spans="1:33">
      <c r="A478" s="33" t="s">
        <v>736</v>
      </c>
      <c r="B478" s="4" t="s">
        <v>751</v>
      </c>
      <c r="C478" s="4">
        <v>62</v>
      </c>
      <c r="D478" s="4" t="s">
        <v>48</v>
      </c>
      <c r="F478" s="4" t="s">
        <v>64</v>
      </c>
      <c r="G478" s="19"/>
      <c r="H478" s="19">
        <v>45350</v>
      </c>
      <c r="I478" s="19"/>
      <c r="J478" s="34" t="str">
        <f t="shared" si="23"/>
        <v/>
      </c>
      <c r="O478" s="4" t="s">
        <v>50</v>
      </c>
      <c r="P478" s="35"/>
      <c r="Q478" s="40"/>
      <c r="R478" s="37" t="str">
        <f t="shared" si="24"/>
        <v/>
      </c>
      <c r="S478" s="4"/>
      <c r="T478" s="41"/>
      <c r="U478" s="41"/>
      <c r="V478" s="4"/>
      <c r="W478" s="4" t="s">
        <v>51</v>
      </c>
      <c r="X478" s="42" t="s">
        <v>704</v>
      </c>
      <c r="Y478" s="4"/>
      <c r="Z478" s="4"/>
      <c r="AA478" s="39" t="s">
        <v>52</v>
      </c>
      <c r="AB478" s="39"/>
      <c r="AC478" s="39"/>
      <c r="AD478" s="39"/>
      <c r="AE478" s="39"/>
      <c r="AF478" s="39"/>
      <c r="AG478" s="4" t="s">
        <v>704</v>
      </c>
    </row>
    <row r="479" customHeight="1" spans="1:33">
      <c r="A479" s="33" t="s">
        <v>736</v>
      </c>
      <c r="B479" s="4" t="s">
        <v>752</v>
      </c>
      <c r="C479" s="4">
        <v>36</v>
      </c>
      <c r="D479" s="4" t="s">
        <v>48</v>
      </c>
      <c r="F479" s="4" t="s">
        <v>78</v>
      </c>
      <c r="G479" s="19"/>
      <c r="H479" s="19">
        <v>45322</v>
      </c>
      <c r="I479" s="19">
        <v>45611</v>
      </c>
      <c r="J479" s="34">
        <f t="shared" si="23"/>
        <v>290</v>
      </c>
      <c r="O479" s="4" t="s">
        <v>50</v>
      </c>
      <c r="P479" s="35"/>
      <c r="Q479" s="40"/>
      <c r="R479" s="37" t="str">
        <f t="shared" si="24"/>
        <v/>
      </c>
      <c r="S479" s="4"/>
      <c r="T479" s="41"/>
      <c r="U479" s="41"/>
      <c r="V479" s="4"/>
      <c r="W479" s="4" t="s">
        <v>51</v>
      </c>
      <c r="X479" s="4" t="s">
        <v>753</v>
      </c>
      <c r="Y479" s="4" t="s">
        <v>51</v>
      </c>
      <c r="Z479" s="4" t="s">
        <v>140</v>
      </c>
      <c r="AA479" s="39" t="s">
        <v>52</v>
      </c>
      <c r="AB479" s="39"/>
      <c r="AC479" s="39" t="s">
        <v>52</v>
      </c>
      <c r="AD479" s="39"/>
      <c r="AE479" s="39"/>
      <c r="AF479" s="39"/>
      <c r="AG479" s="4"/>
    </row>
    <row r="480" spans="1:33">
      <c r="A480" s="33" t="s">
        <v>736</v>
      </c>
      <c r="B480" s="4" t="s">
        <v>754</v>
      </c>
      <c r="C480" s="4">
        <v>42</v>
      </c>
      <c r="D480" s="4" t="s">
        <v>48</v>
      </c>
      <c r="F480" s="4" t="s">
        <v>49</v>
      </c>
      <c r="G480" s="19"/>
      <c r="H480" s="19">
        <v>45314</v>
      </c>
      <c r="I480" s="19">
        <v>45588</v>
      </c>
      <c r="J480" s="34">
        <f t="shared" si="23"/>
        <v>275</v>
      </c>
      <c r="O480" s="4" t="s">
        <v>51</v>
      </c>
      <c r="P480" s="35"/>
      <c r="Q480" s="40"/>
      <c r="R480" s="37" t="str">
        <f t="shared" si="24"/>
        <v/>
      </c>
      <c r="S480" s="4"/>
      <c r="T480" s="41"/>
      <c r="U480" s="41"/>
      <c r="V480" s="4"/>
      <c r="W480" s="4" t="s">
        <v>51</v>
      </c>
      <c r="X480" s="4" t="s">
        <v>51</v>
      </c>
      <c r="Y480" s="4" t="s">
        <v>51</v>
      </c>
      <c r="Z480" s="4" t="s">
        <v>51</v>
      </c>
      <c r="AA480" s="39" t="s">
        <v>52</v>
      </c>
      <c r="AB480" s="39"/>
      <c r="AC480" s="39" t="s">
        <v>52</v>
      </c>
      <c r="AD480" s="39"/>
      <c r="AE480" s="39" t="s">
        <v>52</v>
      </c>
      <c r="AF480" s="39"/>
      <c r="AG480" s="4"/>
    </row>
    <row r="481" spans="1:33">
      <c r="A481" s="33" t="s">
        <v>736</v>
      </c>
      <c r="B481" s="4" t="s">
        <v>755</v>
      </c>
      <c r="C481" s="4">
        <v>63</v>
      </c>
      <c r="D481" s="4" t="s">
        <v>54</v>
      </c>
      <c r="F481" s="4" t="s">
        <v>56</v>
      </c>
      <c r="G481" s="19"/>
      <c r="H481" s="19">
        <v>45266</v>
      </c>
      <c r="I481" s="19">
        <v>45453</v>
      </c>
      <c r="J481" s="34">
        <f t="shared" si="23"/>
        <v>188</v>
      </c>
      <c r="O481" s="4" t="s">
        <v>50</v>
      </c>
      <c r="P481" s="35"/>
      <c r="Q481" s="40"/>
      <c r="R481" s="37" t="str">
        <f t="shared" si="24"/>
        <v/>
      </c>
      <c r="S481" s="4"/>
      <c r="T481" s="41"/>
      <c r="U481" s="41"/>
      <c r="V481" s="4"/>
      <c r="W481" s="4" t="s">
        <v>51</v>
      </c>
      <c r="X481" s="4" t="s">
        <v>51</v>
      </c>
      <c r="Y481" s="4" t="s">
        <v>51</v>
      </c>
      <c r="Z481" s="4" t="s">
        <v>739</v>
      </c>
      <c r="AA481" s="39" t="s">
        <v>52</v>
      </c>
      <c r="AB481" s="39"/>
      <c r="AC481" s="39" t="s">
        <v>52</v>
      </c>
      <c r="AD481" s="39"/>
      <c r="AE481" s="39"/>
      <c r="AF481" s="39"/>
      <c r="AG481" s="4"/>
    </row>
    <row r="482" spans="1:33">
      <c r="A482" s="33" t="s">
        <v>736</v>
      </c>
      <c r="B482" s="4" t="s">
        <v>756</v>
      </c>
      <c r="C482" s="4">
        <v>68</v>
      </c>
      <c r="D482" s="4" t="s">
        <v>48</v>
      </c>
      <c r="F482" s="4" t="s">
        <v>56</v>
      </c>
      <c r="G482" s="19"/>
      <c r="H482" s="19">
        <v>45246</v>
      </c>
      <c r="I482" s="19">
        <v>45432</v>
      </c>
      <c r="J482" s="34">
        <f t="shared" si="23"/>
        <v>187</v>
      </c>
      <c r="O482" s="4" t="s">
        <v>50</v>
      </c>
      <c r="P482" s="35"/>
      <c r="Q482" s="40"/>
      <c r="R482" s="37" t="str">
        <f t="shared" si="24"/>
        <v/>
      </c>
      <c r="S482" s="4"/>
      <c r="T482" s="41"/>
      <c r="U482" s="41"/>
      <c r="V482" s="4"/>
      <c r="W482" s="4" t="s">
        <v>51</v>
      </c>
      <c r="X482" s="4" t="s">
        <v>51</v>
      </c>
      <c r="Y482" s="4" t="s">
        <v>140</v>
      </c>
      <c r="Z482" s="4" t="s">
        <v>140</v>
      </c>
      <c r="AA482" s="39" t="s">
        <v>52</v>
      </c>
      <c r="AB482" s="39"/>
      <c r="AC482" s="39" t="s">
        <v>52</v>
      </c>
      <c r="AD482" s="39"/>
      <c r="AE482" s="39"/>
      <c r="AF482" s="39"/>
      <c r="AG482" s="4" t="s">
        <v>123</v>
      </c>
    </row>
    <row r="483" spans="1:33">
      <c r="A483" s="33" t="s">
        <v>736</v>
      </c>
      <c r="B483" s="4" t="s">
        <v>757</v>
      </c>
      <c r="C483" s="4">
        <v>17</v>
      </c>
      <c r="D483" s="4" t="s">
        <v>48</v>
      </c>
      <c r="F483" s="4" t="s">
        <v>56</v>
      </c>
      <c r="G483" s="19"/>
      <c r="H483" s="19">
        <v>45246</v>
      </c>
      <c r="I483" s="19">
        <v>45432</v>
      </c>
      <c r="J483" s="34">
        <f t="shared" si="23"/>
        <v>187</v>
      </c>
      <c r="O483" s="4" t="s">
        <v>50</v>
      </c>
      <c r="P483" s="35"/>
      <c r="Q483" s="40"/>
      <c r="R483" s="37" t="str">
        <f t="shared" si="24"/>
        <v/>
      </c>
      <c r="S483" s="4"/>
      <c r="T483" s="41"/>
      <c r="U483" s="41"/>
      <c r="V483" s="4"/>
      <c r="W483" s="4" t="s">
        <v>51</v>
      </c>
      <c r="X483" s="4" t="s">
        <v>51</v>
      </c>
      <c r="Y483" s="4" t="s">
        <v>51</v>
      </c>
      <c r="Z483" s="4" t="s">
        <v>739</v>
      </c>
      <c r="AA483" s="39" t="s">
        <v>52</v>
      </c>
      <c r="AB483" s="39"/>
      <c r="AC483" s="39" t="s">
        <v>52</v>
      </c>
      <c r="AD483" s="39"/>
      <c r="AE483" s="39"/>
      <c r="AF483" s="39"/>
      <c r="AG483" s="4"/>
    </row>
    <row r="484" spans="1:33">
      <c r="A484" s="33" t="s">
        <v>736</v>
      </c>
      <c r="B484" s="4" t="s">
        <v>758</v>
      </c>
      <c r="C484" s="4">
        <v>64</v>
      </c>
      <c r="D484" s="4" t="s">
        <v>48</v>
      </c>
      <c r="F484" s="4" t="s">
        <v>56</v>
      </c>
      <c r="G484" s="19"/>
      <c r="H484" s="19">
        <v>45193</v>
      </c>
      <c r="I484" s="19">
        <v>45375</v>
      </c>
      <c r="J484" s="34">
        <f t="shared" si="23"/>
        <v>183</v>
      </c>
      <c r="O484" s="4" t="s">
        <v>50</v>
      </c>
      <c r="P484" s="35"/>
      <c r="Q484" s="40"/>
      <c r="R484" s="37" t="str">
        <f t="shared" si="24"/>
        <v/>
      </c>
      <c r="S484" s="4"/>
      <c r="T484" s="41"/>
      <c r="U484" s="41"/>
      <c r="V484" s="4"/>
      <c r="W484" s="4" t="s">
        <v>51</v>
      </c>
      <c r="X484" s="4" t="s">
        <v>51</v>
      </c>
      <c r="Y484" s="4" t="s">
        <v>51</v>
      </c>
      <c r="Z484" s="4" t="s">
        <v>739</v>
      </c>
      <c r="AA484" s="39" t="s">
        <v>52</v>
      </c>
      <c r="AB484" s="39"/>
      <c r="AC484" s="39" t="s">
        <v>52</v>
      </c>
      <c r="AD484" s="39"/>
      <c r="AE484" s="39"/>
      <c r="AF484" s="39"/>
      <c r="AG484" s="4"/>
    </row>
    <row r="485" spans="1:33">
      <c r="A485" s="33" t="s">
        <v>736</v>
      </c>
      <c r="B485" s="4" t="s">
        <v>759</v>
      </c>
      <c r="C485" s="4">
        <v>44</v>
      </c>
      <c r="D485" s="4" t="s">
        <v>48</v>
      </c>
      <c r="F485" s="4" t="s">
        <v>64</v>
      </c>
      <c r="G485" s="19"/>
      <c r="H485" s="19">
        <v>45197</v>
      </c>
      <c r="I485" s="19">
        <v>45473</v>
      </c>
      <c r="J485" s="34">
        <f t="shared" si="23"/>
        <v>277</v>
      </c>
      <c r="O485" s="4" t="s">
        <v>50</v>
      </c>
      <c r="P485" s="35"/>
      <c r="Q485" s="40"/>
      <c r="R485" s="37" t="str">
        <f t="shared" si="24"/>
        <v/>
      </c>
      <c r="S485" s="4"/>
      <c r="T485" s="41"/>
      <c r="U485" s="41"/>
      <c r="V485" s="4"/>
      <c r="W485" s="4" t="s">
        <v>50</v>
      </c>
      <c r="X485" s="4" t="s">
        <v>51</v>
      </c>
      <c r="Y485" s="4" t="s">
        <v>51</v>
      </c>
      <c r="Z485" s="4" t="s">
        <v>51</v>
      </c>
      <c r="AA485" s="39" t="s">
        <v>52</v>
      </c>
      <c r="AB485" s="39"/>
      <c r="AC485" s="39" t="s">
        <v>52</v>
      </c>
      <c r="AD485" s="39"/>
      <c r="AE485" s="39" t="s">
        <v>52</v>
      </c>
      <c r="AF485" s="39"/>
      <c r="AG485" s="4"/>
    </row>
    <row r="486" spans="1:33">
      <c r="A486" s="33" t="s">
        <v>736</v>
      </c>
      <c r="B486" s="4" t="s">
        <v>760</v>
      </c>
      <c r="C486" s="4">
        <v>32</v>
      </c>
      <c r="D486" s="4" t="s">
        <v>48</v>
      </c>
      <c r="F486" s="4" t="s">
        <v>56</v>
      </c>
      <c r="G486" s="19"/>
      <c r="H486" s="19">
        <v>45193</v>
      </c>
      <c r="I486" s="19">
        <v>45544</v>
      </c>
      <c r="J486" s="34">
        <f t="shared" si="23"/>
        <v>352</v>
      </c>
      <c r="O486" s="4" t="s">
        <v>50</v>
      </c>
      <c r="P486" s="35"/>
      <c r="Q486" s="40"/>
      <c r="R486" s="37" t="str">
        <f t="shared" si="24"/>
        <v/>
      </c>
      <c r="S486" s="4"/>
      <c r="T486" s="41"/>
      <c r="U486" s="41"/>
      <c r="V486" s="4"/>
      <c r="W486" s="4" t="s">
        <v>397</v>
      </c>
      <c r="X486" s="4" t="s">
        <v>397</v>
      </c>
      <c r="Y486" s="4"/>
      <c r="Z486" s="4"/>
      <c r="AA486" s="39" t="s">
        <v>52</v>
      </c>
      <c r="AB486" s="39"/>
      <c r="AC486" s="39"/>
      <c r="AD486" s="39"/>
      <c r="AE486" s="39"/>
      <c r="AF486" s="39"/>
      <c r="AG486" s="4"/>
    </row>
    <row r="487" ht="16.5" spans="1:33">
      <c r="A487" s="33" t="s">
        <v>736</v>
      </c>
      <c r="B487" s="4" t="s">
        <v>761</v>
      </c>
      <c r="C487" s="4">
        <v>49</v>
      </c>
      <c r="D487" s="4" t="s">
        <v>48</v>
      </c>
      <c r="F487" s="4" t="s">
        <v>49</v>
      </c>
      <c r="G487" s="19"/>
      <c r="H487" s="19">
        <v>45196</v>
      </c>
      <c r="I487" s="19"/>
      <c r="J487" s="34" t="str">
        <f t="shared" si="23"/>
        <v/>
      </c>
      <c r="O487" s="4" t="s">
        <v>50</v>
      </c>
      <c r="P487" s="35"/>
      <c r="Q487" s="40"/>
      <c r="R487" s="37" t="str">
        <f t="shared" si="24"/>
        <v/>
      </c>
      <c r="S487" s="4"/>
      <c r="T487" s="41"/>
      <c r="U487" s="41"/>
      <c r="V487" s="4"/>
      <c r="W487" s="4" t="s">
        <v>50</v>
      </c>
      <c r="X487" s="4" t="s">
        <v>50</v>
      </c>
      <c r="Y487" s="4"/>
      <c r="Z487" s="4"/>
      <c r="AA487" s="39" t="s">
        <v>108</v>
      </c>
      <c r="AB487" s="39"/>
      <c r="AC487" s="39" t="s">
        <v>108</v>
      </c>
      <c r="AD487" s="39"/>
      <c r="AE487" s="39"/>
      <c r="AF487" s="39"/>
      <c r="AG487" s="4" t="s">
        <v>123</v>
      </c>
    </row>
    <row r="488" spans="1:33">
      <c r="A488" s="33" t="s">
        <v>736</v>
      </c>
      <c r="B488" s="4" t="s">
        <v>762</v>
      </c>
      <c r="C488" s="4">
        <v>61</v>
      </c>
      <c r="D488" s="4" t="s">
        <v>48</v>
      </c>
      <c r="F488" s="4" t="s">
        <v>56</v>
      </c>
      <c r="G488" s="19"/>
      <c r="H488" s="19">
        <v>45059</v>
      </c>
      <c r="I488" s="19">
        <v>45611</v>
      </c>
      <c r="J488" s="34">
        <f t="shared" si="23"/>
        <v>553</v>
      </c>
      <c r="O488" s="4" t="s">
        <v>50</v>
      </c>
      <c r="P488" s="35"/>
      <c r="Q488" s="40"/>
      <c r="R488" s="37" t="str">
        <f t="shared" si="24"/>
        <v/>
      </c>
      <c r="S488" s="4"/>
      <c r="T488" s="41"/>
      <c r="U488" s="41"/>
      <c r="V488" s="4"/>
      <c r="W488" s="4" t="s">
        <v>51</v>
      </c>
      <c r="X488" s="4" t="s">
        <v>51</v>
      </c>
      <c r="Y488" s="4" t="s">
        <v>140</v>
      </c>
      <c r="Z488" s="4" t="s">
        <v>140</v>
      </c>
      <c r="AA488" s="39" t="s">
        <v>52</v>
      </c>
      <c r="AB488" s="39"/>
      <c r="AC488" s="39"/>
      <c r="AD488" s="39"/>
      <c r="AE488" s="39"/>
      <c r="AF488" s="39"/>
      <c r="AG488" s="4" t="s">
        <v>704</v>
      </c>
    </row>
    <row r="489" spans="1:33">
      <c r="A489" s="33" t="s">
        <v>736</v>
      </c>
      <c r="B489" s="4" t="s">
        <v>763</v>
      </c>
      <c r="C489" s="4">
        <v>68</v>
      </c>
      <c r="D489" s="4" t="s">
        <v>48</v>
      </c>
      <c r="F489" s="4" t="s">
        <v>56</v>
      </c>
      <c r="G489" s="19"/>
      <c r="H489" s="19">
        <v>45057</v>
      </c>
      <c r="I489" s="19">
        <v>45608</v>
      </c>
      <c r="J489" s="34">
        <f t="shared" si="23"/>
        <v>552</v>
      </c>
      <c r="O489" s="4" t="s">
        <v>51</v>
      </c>
      <c r="P489" s="35"/>
      <c r="Q489" s="40"/>
      <c r="R489" s="37" t="str">
        <f t="shared" si="24"/>
        <v/>
      </c>
      <c r="S489" s="4"/>
      <c r="T489" s="41"/>
      <c r="U489" s="41"/>
      <c r="V489" s="4"/>
      <c r="W489" s="4" t="s">
        <v>51</v>
      </c>
      <c r="X489" s="4" t="s">
        <v>51</v>
      </c>
      <c r="Y489" s="4" t="s">
        <v>51</v>
      </c>
      <c r="Z489" s="4" t="s">
        <v>140</v>
      </c>
      <c r="AA489" s="39" t="s">
        <v>52</v>
      </c>
      <c r="AB489" s="39"/>
      <c r="AC489" s="39" t="s">
        <v>52</v>
      </c>
      <c r="AD489" s="39"/>
      <c r="AE489" s="39"/>
      <c r="AF489" s="39"/>
      <c r="AG489" s="4"/>
    </row>
    <row r="490" spans="1:33">
      <c r="A490" s="33" t="s">
        <v>736</v>
      </c>
      <c r="B490" s="4" t="s">
        <v>764</v>
      </c>
      <c r="C490" s="4">
        <v>46</v>
      </c>
      <c r="D490" s="4" t="s">
        <v>48</v>
      </c>
      <c r="F490" s="4" t="s">
        <v>56</v>
      </c>
      <c r="G490" s="19"/>
      <c r="H490" s="19">
        <v>45040</v>
      </c>
      <c r="I490" s="19">
        <v>45590</v>
      </c>
      <c r="J490" s="34">
        <f t="shared" si="23"/>
        <v>551</v>
      </c>
      <c r="O490" s="4" t="s">
        <v>50</v>
      </c>
      <c r="P490" s="35"/>
      <c r="Q490" s="40"/>
      <c r="R490" s="37" t="str">
        <f t="shared" si="24"/>
        <v/>
      </c>
      <c r="S490" s="4"/>
      <c r="T490" s="41"/>
      <c r="U490" s="41"/>
      <c r="V490" s="4"/>
      <c r="W490" s="4" t="s">
        <v>51</v>
      </c>
      <c r="X490" s="4" t="s">
        <v>51</v>
      </c>
      <c r="Y490" s="4" t="s">
        <v>140</v>
      </c>
      <c r="Z490" s="4" t="s">
        <v>140</v>
      </c>
      <c r="AA490" s="39" t="s">
        <v>52</v>
      </c>
      <c r="AB490" s="39"/>
      <c r="AC490" s="39"/>
      <c r="AD490" s="39"/>
      <c r="AE490" s="39"/>
      <c r="AF490" s="39"/>
      <c r="AG490" s="4" t="s">
        <v>123</v>
      </c>
    </row>
    <row r="491" spans="1:33">
      <c r="A491" s="33" t="s">
        <v>736</v>
      </c>
      <c r="B491" s="4" t="s">
        <v>765</v>
      </c>
      <c r="C491" s="4">
        <v>63</v>
      </c>
      <c r="D491" s="4" t="s">
        <v>48</v>
      </c>
      <c r="F491" s="4" t="s">
        <v>56</v>
      </c>
      <c r="G491" s="19"/>
      <c r="H491" s="19">
        <v>45045</v>
      </c>
      <c r="I491" s="19">
        <v>45595</v>
      </c>
      <c r="J491" s="34">
        <f t="shared" si="23"/>
        <v>551</v>
      </c>
      <c r="O491" s="4" t="s">
        <v>50</v>
      </c>
      <c r="P491" s="35"/>
      <c r="Q491" s="40"/>
      <c r="R491" s="37" t="str">
        <f t="shared" si="24"/>
        <v/>
      </c>
      <c r="S491" s="4"/>
      <c r="T491" s="41"/>
      <c r="U491" s="41"/>
      <c r="V491" s="4"/>
      <c r="W491" s="4" t="s">
        <v>51</v>
      </c>
      <c r="X491" s="4" t="s">
        <v>51</v>
      </c>
      <c r="Y491" s="4" t="s">
        <v>51</v>
      </c>
      <c r="Z491" s="4" t="s">
        <v>140</v>
      </c>
      <c r="AA491" s="39" t="s">
        <v>52</v>
      </c>
      <c r="AB491" s="39"/>
      <c r="AC491" s="39" t="s">
        <v>52</v>
      </c>
      <c r="AD491" s="39"/>
      <c r="AE491" s="39"/>
      <c r="AF491" s="39"/>
      <c r="AG491" s="4"/>
    </row>
    <row r="492" spans="1:33">
      <c r="A492" s="33" t="s">
        <v>736</v>
      </c>
      <c r="B492" s="4" t="s">
        <v>766</v>
      </c>
      <c r="C492" s="4">
        <v>29</v>
      </c>
      <c r="D492" s="4" t="s">
        <v>54</v>
      </c>
      <c r="F492" s="4" t="s">
        <v>49</v>
      </c>
      <c r="G492" s="19">
        <v>45246</v>
      </c>
      <c r="H492" s="19">
        <v>45057</v>
      </c>
      <c r="I492" s="19">
        <v>45337</v>
      </c>
      <c r="J492" s="34">
        <f t="shared" si="23"/>
        <v>281</v>
      </c>
      <c r="O492" s="4" t="s">
        <v>50</v>
      </c>
      <c r="P492" s="35"/>
      <c r="Q492" s="40"/>
      <c r="R492" s="37" t="str">
        <f t="shared" si="24"/>
        <v/>
      </c>
      <c r="S492" s="4"/>
      <c r="T492" s="41"/>
      <c r="U492" s="41"/>
      <c r="V492" s="4"/>
      <c r="W492" s="4" t="s">
        <v>51</v>
      </c>
      <c r="X492" s="4" t="s">
        <v>51</v>
      </c>
      <c r="Y492" s="4" t="s">
        <v>51</v>
      </c>
      <c r="Z492" s="4" t="s">
        <v>51</v>
      </c>
      <c r="AA492" s="39" t="s">
        <v>52</v>
      </c>
      <c r="AB492" s="39"/>
      <c r="AC492" s="39" t="s">
        <v>52</v>
      </c>
      <c r="AD492" s="39"/>
      <c r="AE492" s="39" t="s">
        <v>52</v>
      </c>
      <c r="AF492" s="39"/>
      <c r="AG492" s="4"/>
    </row>
    <row r="493" spans="1:33">
      <c r="A493" s="33" t="s">
        <v>736</v>
      </c>
      <c r="B493" s="4" t="s">
        <v>767</v>
      </c>
      <c r="C493" s="4">
        <v>39</v>
      </c>
      <c r="D493" s="4" t="s">
        <v>48</v>
      </c>
      <c r="F493" s="4" t="s">
        <v>64</v>
      </c>
      <c r="G493" s="19"/>
      <c r="H493" s="19">
        <v>45017</v>
      </c>
      <c r="I493" s="19">
        <v>45203</v>
      </c>
      <c r="J493" s="34">
        <f t="shared" si="23"/>
        <v>187</v>
      </c>
      <c r="O493" s="4" t="s">
        <v>50</v>
      </c>
      <c r="P493" s="35"/>
      <c r="Q493" s="40"/>
      <c r="R493" s="37" t="str">
        <f t="shared" si="24"/>
        <v/>
      </c>
      <c r="S493" s="4"/>
      <c r="T493" s="41"/>
      <c r="U493" s="41"/>
      <c r="V493" s="4"/>
      <c r="W493" s="4" t="s">
        <v>51</v>
      </c>
      <c r="X493" s="4" t="s">
        <v>51</v>
      </c>
      <c r="Y493" s="4" t="s">
        <v>51</v>
      </c>
      <c r="Z493" s="4" t="s">
        <v>51</v>
      </c>
      <c r="AA493" s="39" t="s">
        <v>52</v>
      </c>
      <c r="AB493" s="39"/>
      <c r="AC493" s="39" t="s">
        <v>52</v>
      </c>
      <c r="AD493" s="39"/>
      <c r="AE493" s="39" t="s">
        <v>52</v>
      </c>
      <c r="AF493" s="39"/>
      <c r="AG493" s="4"/>
    </row>
    <row r="494" spans="1:33">
      <c r="A494" s="33" t="s">
        <v>736</v>
      </c>
      <c r="B494" s="4" t="s">
        <v>768</v>
      </c>
      <c r="C494" s="4">
        <v>43</v>
      </c>
      <c r="D494" s="4" t="s">
        <v>48</v>
      </c>
      <c r="F494" s="4" t="s">
        <v>49</v>
      </c>
      <c r="G494" s="19">
        <v>45166</v>
      </c>
      <c r="H494" s="19">
        <v>44979</v>
      </c>
      <c r="I494" s="19">
        <v>45163</v>
      </c>
      <c r="J494" s="34">
        <f t="shared" si="23"/>
        <v>185</v>
      </c>
      <c r="O494" s="4" t="s">
        <v>50</v>
      </c>
      <c r="P494" s="35"/>
      <c r="Q494" s="40"/>
      <c r="R494" s="37" t="str">
        <f t="shared" si="24"/>
        <v/>
      </c>
      <c r="S494" s="4"/>
      <c r="T494" s="41"/>
      <c r="U494" s="41"/>
      <c r="V494" s="4"/>
      <c r="W494" s="4" t="s">
        <v>51</v>
      </c>
      <c r="X494" s="4" t="s">
        <v>51</v>
      </c>
      <c r="Y494" s="4" t="s">
        <v>51</v>
      </c>
      <c r="Z494" s="4" t="s">
        <v>51</v>
      </c>
      <c r="AA494" s="39" t="s">
        <v>52</v>
      </c>
      <c r="AB494" s="39"/>
      <c r="AC494" s="39" t="s">
        <v>52</v>
      </c>
      <c r="AD494" s="39"/>
      <c r="AE494" s="39" t="s">
        <v>52</v>
      </c>
      <c r="AF494" s="39"/>
      <c r="AG494" s="4"/>
    </row>
    <row r="495" spans="1:33">
      <c r="A495" s="33" t="s">
        <v>736</v>
      </c>
      <c r="B495" s="4" t="s">
        <v>769</v>
      </c>
      <c r="C495" s="4">
        <v>69</v>
      </c>
      <c r="D495" s="4" t="s">
        <v>48</v>
      </c>
      <c r="F495" s="4" t="s">
        <v>56</v>
      </c>
      <c r="G495" s="19"/>
      <c r="H495" s="19">
        <v>44965</v>
      </c>
      <c r="I495" s="19">
        <v>45514</v>
      </c>
      <c r="J495" s="34">
        <f t="shared" si="23"/>
        <v>550</v>
      </c>
      <c r="O495" s="4" t="s">
        <v>50</v>
      </c>
      <c r="P495" s="35"/>
      <c r="Q495" s="40"/>
      <c r="R495" s="37" t="str">
        <f t="shared" si="24"/>
        <v/>
      </c>
      <c r="S495" s="4"/>
      <c r="T495" s="41"/>
      <c r="U495" s="41"/>
      <c r="V495" s="4"/>
      <c r="W495" s="4" t="s">
        <v>51</v>
      </c>
      <c r="X495" s="4" t="s">
        <v>51</v>
      </c>
      <c r="Y495" s="4" t="s">
        <v>140</v>
      </c>
      <c r="Z495" s="4" t="s">
        <v>140</v>
      </c>
      <c r="AA495" s="39" t="s">
        <v>52</v>
      </c>
      <c r="AB495" s="39"/>
      <c r="AC495" s="39"/>
      <c r="AD495" s="39"/>
      <c r="AE495" s="39"/>
      <c r="AF495" s="39"/>
      <c r="AG495" s="4" t="s">
        <v>123</v>
      </c>
    </row>
    <row r="496" ht="16.5" spans="1:33">
      <c r="A496" s="33" t="s">
        <v>736</v>
      </c>
      <c r="B496" s="4" t="s">
        <v>770</v>
      </c>
      <c r="C496" s="4">
        <v>76</v>
      </c>
      <c r="D496" s="4" t="s">
        <v>48</v>
      </c>
      <c r="F496" s="4" t="s">
        <v>82</v>
      </c>
      <c r="G496" s="19"/>
      <c r="H496" s="19">
        <v>44887</v>
      </c>
      <c r="I496" s="19"/>
      <c r="J496" s="34" t="str">
        <f t="shared" si="23"/>
        <v/>
      </c>
      <c r="O496" s="4" t="s">
        <v>51</v>
      </c>
      <c r="P496" s="35"/>
      <c r="Q496" s="40"/>
      <c r="R496" s="37" t="str">
        <f t="shared" si="24"/>
        <v/>
      </c>
      <c r="S496" s="4"/>
      <c r="T496" s="41"/>
      <c r="U496" s="41"/>
      <c r="V496" s="4"/>
      <c r="W496" s="4" t="s">
        <v>51</v>
      </c>
      <c r="X496" s="4" t="s">
        <v>51</v>
      </c>
      <c r="Y496" s="4" t="s">
        <v>140</v>
      </c>
      <c r="Z496" s="4" t="s">
        <v>140</v>
      </c>
      <c r="AA496" s="39" t="s">
        <v>52</v>
      </c>
      <c r="AB496" s="39"/>
      <c r="AC496" s="39"/>
      <c r="AD496" s="39"/>
      <c r="AE496" s="39"/>
      <c r="AF496" s="39"/>
      <c r="AG496" s="4" t="s">
        <v>582</v>
      </c>
    </row>
    <row r="497" spans="1:33">
      <c r="A497" s="33" t="s">
        <v>736</v>
      </c>
      <c r="B497" s="4" t="s">
        <v>771</v>
      </c>
      <c r="C497" s="4">
        <v>58</v>
      </c>
      <c r="D497" s="4" t="s">
        <v>54</v>
      </c>
      <c r="F497" s="4" t="s">
        <v>82</v>
      </c>
      <c r="G497" s="19"/>
      <c r="H497" s="19">
        <v>44882</v>
      </c>
      <c r="I497" s="19">
        <v>45432</v>
      </c>
      <c r="J497" s="34">
        <f t="shared" si="23"/>
        <v>551</v>
      </c>
      <c r="O497" s="4" t="s">
        <v>50</v>
      </c>
      <c r="P497" s="35"/>
      <c r="Q497" s="40"/>
      <c r="R497" s="37" t="str">
        <f t="shared" si="24"/>
        <v/>
      </c>
      <c r="S497" s="4"/>
      <c r="T497" s="41"/>
      <c r="U497" s="41"/>
      <c r="V497" s="4"/>
      <c r="W497" s="4" t="s">
        <v>51</v>
      </c>
      <c r="X497" s="4" t="s">
        <v>51</v>
      </c>
      <c r="Y497" s="4" t="s">
        <v>140</v>
      </c>
      <c r="Z497" s="4" t="s">
        <v>140</v>
      </c>
      <c r="AA497" s="39" t="s">
        <v>52</v>
      </c>
      <c r="AB497" s="39"/>
      <c r="AC497" s="39"/>
      <c r="AD497" s="39"/>
      <c r="AE497" s="39"/>
      <c r="AF497" s="39"/>
      <c r="AG497" s="4" t="s">
        <v>123</v>
      </c>
    </row>
    <row r="498" spans="1:33">
      <c r="A498" s="33" t="s">
        <v>736</v>
      </c>
      <c r="B498" s="4" t="s">
        <v>772</v>
      </c>
      <c r="C498" s="4">
        <v>48</v>
      </c>
      <c r="D498" s="4" t="s">
        <v>54</v>
      </c>
      <c r="F498" s="4" t="s">
        <v>56</v>
      </c>
      <c r="G498" s="19"/>
      <c r="H498" s="19">
        <v>44840</v>
      </c>
      <c r="I498" s="19">
        <v>45388</v>
      </c>
      <c r="J498" s="34">
        <f t="shared" si="23"/>
        <v>549</v>
      </c>
      <c r="O498" s="4" t="s">
        <v>51</v>
      </c>
      <c r="P498" s="35"/>
      <c r="Q498" s="40"/>
      <c r="R498" s="37" t="str">
        <f t="shared" si="24"/>
        <v/>
      </c>
      <c r="S498" s="4"/>
      <c r="T498" s="41"/>
      <c r="U498" s="41"/>
      <c r="V498" s="4"/>
      <c r="W498" s="4" t="s">
        <v>51</v>
      </c>
      <c r="X498" s="4" t="s">
        <v>51</v>
      </c>
      <c r="Y498" s="4" t="s">
        <v>51</v>
      </c>
      <c r="Z498" s="4" t="s">
        <v>51</v>
      </c>
      <c r="AA498" s="39" t="s">
        <v>52</v>
      </c>
      <c r="AB498" s="39"/>
      <c r="AC498" s="39" t="s">
        <v>52</v>
      </c>
      <c r="AD498" s="39"/>
      <c r="AE498" s="39" t="s">
        <v>52</v>
      </c>
      <c r="AF498" s="39"/>
      <c r="AG498" s="4"/>
    </row>
    <row r="499" ht="16.5" spans="1:33">
      <c r="A499" s="33" t="s">
        <v>736</v>
      </c>
      <c r="B499" s="4" t="s">
        <v>773</v>
      </c>
      <c r="C499" s="4">
        <v>54</v>
      </c>
      <c r="D499" s="4" t="s">
        <v>48</v>
      </c>
      <c r="F499" s="4" t="s">
        <v>56</v>
      </c>
      <c r="G499" s="19"/>
      <c r="H499" s="19">
        <v>44846</v>
      </c>
      <c r="I499" s="19"/>
      <c r="J499" s="34" t="str">
        <f t="shared" si="23"/>
        <v/>
      </c>
      <c r="O499" s="4" t="s">
        <v>50</v>
      </c>
      <c r="P499" s="35"/>
      <c r="Q499" s="40"/>
      <c r="R499" s="37" t="str">
        <f t="shared" si="24"/>
        <v/>
      </c>
      <c r="S499" s="4"/>
      <c r="T499" s="41"/>
      <c r="U499" s="41"/>
      <c r="V499" s="4"/>
      <c r="W499" s="4"/>
      <c r="X499" s="4"/>
      <c r="Y499" s="4"/>
      <c r="Z499" s="4"/>
      <c r="AA499" s="39" t="s">
        <v>52</v>
      </c>
      <c r="AB499" s="39"/>
      <c r="AC499" s="39"/>
      <c r="AD499" s="39"/>
      <c r="AE499" s="39"/>
      <c r="AF499" s="39"/>
      <c r="AG499" s="4" t="s">
        <v>582</v>
      </c>
    </row>
    <row r="500" spans="1:33">
      <c r="A500" s="33" t="s">
        <v>736</v>
      </c>
      <c r="B500" s="4" t="s">
        <v>774</v>
      </c>
      <c r="C500" s="4">
        <v>53</v>
      </c>
      <c r="D500" s="4" t="s">
        <v>54</v>
      </c>
      <c r="F500" s="4" t="s">
        <v>56</v>
      </c>
      <c r="G500" s="19"/>
      <c r="H500" s="19">
        <v>44832</v>
      </c>
      <c r="I500" s="19">
        <v>45381</v>
      </c>
      <c r="J500" s="34">
        <f t="shared" si="23"/>
        <v>550</v>
      </c>
      <c r="O500" s="4" t="s">
        <v>51</v>
      </c>
      <c r="P500" s="35"/>
      <c r="Q500" s="40"/>
      <c r="R500" s="37" t="str">
        <f t="shared" si="24"/>
        <v/>
      </c>
      <c r="S500" s="4"/>
      <c r="T500" s="41"/>
      <c r="U500" s="41"/>
      <c r="V500" s="4"/>
      <c r="W500" s="4" t="s">
        <v>51</v>
      </c>
      <c r="X500" s="4" t="s">
        <v>51</v>
      </c>
      <c r="Y500" s="4" t="s">
        <v>51</v>
      </c>
      <c r="Z500" s="4" t="s">
        <v>51</v>
      </c>
      <c r="AA500" s="39" t="s">
        <v>52</v>
      </c>
      <c r="AB500" s="39"/>
      <c r="AC500" s="39" t="s">
        <v>52</v>
      </c>
      <c r="AD500" s="39"/>
      <c r="AE500" s="39" t="s">
        <v>52</v>
      </c>
      <c r="AF500" s="39"/>
      <c r="AG500" s="4"/>
    </row>
    <row r="501" spans="1:33">
      <c r="A501" s="33" t="s">
        <v>736</v>
      </c>
      <c r="B501" s="4" t="s">
        <v>775</v>
      </c>
      <c r="C501" s="4">
        <v>68</v>
      </c>
      <c r="D501" s="4" t="s">
        <v>54</v>
      </c>
      <c r="F501" s="4" t="s">
        <v>82</v>
      </c>
      <c r="G501" s="19">
        <v>45040</v>
      </c>
      <c r="H501" s="19">
        <v>44834</v>
      </c>
      <c r="I501" s="19">
        <v>45109</v>
      </c>
      <c r="J501" s="34">
        <f t="shared" si="23"/>
        <v>276</v>
      </c>
      <c r="O501" s="4" t="s">
        <v>51</v>
      </c>
      <c r="P501" s="35"/>
      <c r="Q501" s="40"/>
      <c r="R501" s="37" t="str">
        <f t="shared" si="24"/>
        <v/>
      </c>
      <c r="S501" s="4"/>
      <c r="T501" s="41"/>
      <c r="U501" s="41"/>
      <c r="V501" s="4"/>
      <c r="W501" s="4" t="s">
        <v>51</v>
      </c>
      <c r="X501" s="4" t="s">
        <v>51</v>
      </c>
      <c r="Y501" s="4" t="s">
        <v>51</v>
      </c>
      <c r="Z501" s="4" t="s">
        <v>51</v>
      </c>
      <c r="AA501" s="39" t="s">
        <v>52</v>
      </c>
      <c r="AB501" s="39"/>
      <c r="AC501" s="39" t="s">
        <v>52</v>
      </c>
      <c r="AD501" s="39"/>
      <c r="AE501" s="39" t="s">
        <v>52</v>
      </c>
      <c r="AF501" s="39"/>
      <c r="AG501" s="4"/>
    </row>
    <row r="502" ht="16.5" spans="1:33">
      <c r="A502" s="33" t="s">
        <v>736</v>
      </c>
      <c r="B502" s="4" t="s">
        <v>776</v>
      </c>
      <c r="C502" s="4">
        <v>55</v>
      </c>
      <c r="D502" s="4" t="s">
        <v>48</v>
      </c>
      <c r="F502" s="4" t="s">
        <v>56</v>
      </c>
      <c r="G502" s="19"/>
      <c r="H502" s="19">
        <v>44721</v>
      </c>
      <c r="I502" s="19">
        <v>45488</v>
      </c>
      <c r="J502" s="34">
        <f t="shared" si="23"/>
        <v>768</v>
      </c>
      <c r="O502" s="4" t="s">
        <v>50</v>
      </c>
      <c r="P502" s="35"/>
      <c r="Q502" s="40"/>
      <c r="R502" s="37" t="str">
        <f t="shared" si="24"/>
        <v/>
      </c>
      <c r="S502" s="4"/>
      <c r="T502" s="41"/>
      <c r="U502" s="41"/>
      <c r="V502" s="4"/>
      <c r="W502" s="4" t="s">
        <v>51</v>
      </c>
      <c r="X502" s="4" t="s">
        <v>397</v>
      </c>
      <c r="Y502" s="4"/>
      <c r="Z502" s="4"/>
      <c r="AA502" s="39" t="s">
        <v>52</v>
      </c>
      <c r="AB502" s="39"/>
      <c r="AC502" s="39" t="s">
        <v>52</v>
      </c>
      <c r="AD502" s="39"/>
      <c r="AE502" s="43"/>
      <c r="AF502" s="39"/>
      <c r="AG502" s="4" t="s">
        <v>123</v>
      </c>
    </row>
    <row r="503" ht="16.5" spans="1:33">
      <c r="A503" s="33" t="s">
        <v>736</v>
      </c>
      <c r="B503" s="4" t="s">
        <v>777</v>
      </c>
      <c r="C503" s="4">
        <v>76</v>
      </c>
      <c r="D503" s="4" t="s">
        <v>48</v>
      </c>
      <c r="F503" s="4" t="s">
        <v>82</v>
      </c>
      <c r="G503" s="19"/>
      <c r="H503" s="19">
        <v>44788</v>
      </c>
      <c r="I503" s="19"/>
      <c r="J503" s="34" t="str">
        <f t="shared" si="23"/>
        <v/>
      </c>
      <c r="O503" s="4" t="s">
        <v>50</v>
      </c>
      <c r="P503" s="35"/>
      <c r="Q503" s="40"/>
      <c r="R503" s="37" t="str">
        <f t="shared" si="24"/>
        <v/>
      </c>
      <c r="S503" s="4"/>
      <c r="T503" s="41"/>
      <c r="U503" s="41"/>
      <c r="V503" s="4"/>
      <c r="W503" s="4"/>
      <c r="X503" s="4"/>
      <c r="Y503" s="4"/>
      <c r="Z503" s="4"/>
      <c r="AA503" s="39" t="s">
        <v>52</v>
      </c>
      <c r="AB503" s="39"/>
      <c r="AC503" s="39"/>
      <c r="AD503" s="39"/>
      <c r="AE503" s="39"/>
      <c r="AF503" s="39"/>
      <c r="AG503" s="4" t="s">
        <v>582</v>
      </c>
    </row>
    <row r="504" spans="1:33">
      <c r="A504" s="33" t="s">
        <v>736</v>
      </c>
      <c r="B504" s="4" t="s">
        <v>778</v>
      </c>
      <c r="C504" s="4">
        <v>20</v>
      </c>
      <c r="D504" s="4" t="s">
        <v>54</v>
      </c>
      <c r="F504" s="4" t="s">
        <v>56</v>
      </c>
      <c r="G504" s="19"/>
      <c r="H504" s="19">
        <v>44782</v>
      </c>
      <c r="I504" s="19">
        <v>45332</v>
      </c>
      <c r="J504" s="34">
        <f t="shared" si="23"/>
        <v>551</v>
      </c>
      <c r="O504" s="4" t="s">
        <v>50</v>
      </c>
      <c r="P504" s="35"/>
      <c r="Q504" s="40"/>
      <c r="R504" s="37" t="str">
        <f t="shared" si="24"/>
        <v/>
      </c>
      <c r="S504" s="4"/>
      <c r="T504" s="41"/>
      <c r="U504" s="41"/>
      <c r="V504" s="4"/>
      <c r="W504" s="4" t="s">
        <v>51</v>
      </c>
      <c r="X504" s="4" t="s">
        <v>51</v>
      </c>
      <c r="Y504" s="4" t="s">
        <v>51</v>
      </c>
      <c r="Z504" s="4" t="s">
        <v>51</v>
      </c>
      <c r="AA504" s="39" t="s">
        <v>52</v>
      </c>
      <c r="AB504" s="39"/>
      <c r="AC504" s="39" t="s">
        <v>52</v>
      </c>
      <c r="AD504" s="39"/>
      <c r="AE504" s="39" t="s">
        <v>52</v>
      </c>
      <c r="AF504" s="39"/>
      <c r="AG504" s="4"/>
    </row>
    <row r="505" spans="1:33">
      <c r="A505" s="33" t="s">
        <v>736</v>
      </c>
      <c r="B505" s="4" t="s">
        <v>779</v>
      </c>
      <c r="C505" s="4">
        <v>68</v>
      </c>
      <c r="D505" s="4" t="s">
        <v>48</v>
      </c>
      <c r="F505" s="4" t="s">
        <v>82</v>
      </c>
      <c r="G505" s="19">
        <v>45001</v>
      </c>
      <c r="H505" s="19">
        <v>44783</v>
      </c>
      <c r="I505" s="19">
        <v>45059</v>
      </c>
      <c r="J505" s="34">
        <f t="shared" si="23"/>
        <v>277</v>
      </c>
      <c r="O505" s="4" t="s">
        <v>50</v>
      </c>
      <c r="P505" s="35"/>
      <c r="Q505" s="40"/>
      <c r="R505" s="37" t="str">
        <f t="shared" si="24"/>
        <v/>
      </c>
      <c r="S505" s="4"/>
      <c r="T505" s="41"/>
      <c r="U505" s="41"/>
      <c r="V505" s="4"/>
      <c r="W505" s="4" t="s">
        <v>51</v>
      </c>
      <c r="X505" s="4" t="s">
        <v>51</v>
      </c>
      <c r="Y505" s="4" t="s">
        <v>51</v>
      </c>
      <c r="Z505" s="4" t="s">
        <v>140</v>
      </c>
      <c r="AA505" s="39" t="s">
        <v>52</v>
      </c>
      <c r="AB505" s="39"/>
      <c r="AC505" s="39" t="s">
        <v>52</v>
      </c>
      <c r="AD505" s="39"/>
      <c r="AE505" s="39"/>
      <c r="AF505" s="39"/>
      <c r="AG505" s="4"/>
    </row>
    <row r="506" spans="1:33">
      <c r="A506" s="33" t="s">
        <v>736</v>
      </c>
      <c r="B506" s="4" t="s">
        <v>780</v>
      </c>
      <c r="C506" s="4">
        <v>58</v>
      </c>
      <c r="D506" s="4" t="s">
        <v>54</v>
      </c>
      <c r="F506" s="4" t="s">
        <v>49</v>
      </c>
      <c r="G506" s="19">
        <v>44926</v>
      </c>
      <c r="H506" s="19">
        <v>44727</v>
      </c>
      <c r="I506" s="19">
        <v>45001</v>
      </c>
      <c r="J506" s="34">
        <f t="shared" si="23"/>
        <v>275</v>
      </c>
      <c r="O506" s="4" t="s">
        <v>50</v>
      </c>
      <c r="P506" s="35"/>
      <c r="Q506" s="40"/>
      <c r="R506" s="37" t="str">
        <f t="shared" si="24"/>
        <v/>
      </c>
      <c r="S506" s="4"/>
      <c r="T506" s="41"/>
      <c r="U506" s="41"/>
      <c r="V506" s="4"/>
      <c r="W506" s="4" t="s">
        <v>51</v>
      </c>
      <c r="X506" s="4" t="s">
        <v>51</v>
      </c>
      <c r="Y506" s="4" t="s">
        <v>51</v>
      </c>
      <c r="Z506" s="4" t="s">
        <v>51</v>
      </c>
      <c r="AA506" s="39" t="s">
        <v>52</v>
      </c>
      <c r="AB506" s="39"/>
      <c r="AC506" s="39" t="s">
        <v>52</v>
      </c>
      <c r="AD506" s="39"/>
      <c r="AE506" s="39" t="s">
        <v>52</v>
      </c>
      <c r="AF506" s="39"/>
      <c r="AG506" s="4"/>
    </row>
    <row r="507" spans="1:33">
      <c r="A507" s="33" t="s">
        <v>736</v>
      </c>
      <c r="B507" s="4" t="s">
        <v>781</v>
      </c>
      <c r="C507" s="4">
        <v>46</v>
      </c>
      <c r="D507" s="4" t="s">
        <v>48</v>
      </c>
      <c r="F507" s="4" t="s">
        <v>49</v>
      </c>
      <c r="G507" s="19">
        <v>44905</v>
      </c>
      <c r="H507" s="19">
        <v>44720</v>
      </c>
      <c r="I507" s="19">
        <v>44905</v>
      </c>
      <c r="J507" s="34">
        <f t="shared" si="23"/>
        <v>186</v>
      </c>
      <c r="O507" s="4" t="s">
        <v>50</v>
      </c>
      <c r="P507" s="35"/>
      <c r="Q507" s="40"/>
      <c r="R507" s="37" t="str">
        <f t="shared" si="24"/>
        <v/>
      </c>
      <c r="S507" s="4"/>
      <c r="T507" s="41"/>
      <c r="U507" s="41"/>
      <c r="V507" s="4"/>
      <c r="W507" s="4" t="s">
        <v>51</v>
      </c>
      <c r="X507" s="4" t="s">
        <v>51</v>
      </c>
      <c r="Y507" s="4" t="s">
        <v>51</v>
      </c>
      <c r="Z507" s="4" t="s">
        <v>51</v>
      </c>
      <c r="AA507" s="39" t="s">
        <v>52</v>
      </c>
      <c r="AB507" s="39"/>
      <c r="AC507" s="39" t="s">
        <v>52</v>
      </c>
      <c r="AD507" s="39"/>
      <c r="AE507" s="39" t="s">
        <v>52</v>
      </c>
      <c r="AF507" s="39"/>
      <c r="AG507" s="4"/>
    </row>
    <row r="508" spans="1:33">
      <c r="A508" s="19" t="s">
        <v>782</v>
      </c>
      <c r="B508" s="19" t="s">
        <v>783</v>
      </c>
      <c r="C508" s="19" t="s">
        <v>784</v>
      </c>
      <c r="D508" s="19" t="s">
        <v>48</v>
      </c>
      <c r="E508" s="41"/>
      <c r="F508" s="19" t="s">
        <v>785</v>
      </c>
      <c r="G508" s="19" t="s">
        <v>57</v>
      </c>
      <c r="H508" s="19">
        <v>45590</v>
      </c>
      <c r="I508" s="19">
        <v>45772</v>
      </c>
      <c r="J508" s="34">
        <f t="shared" si="23"/>
        <v>183</v>
      </c>
      <c r="O508" s="4" t="s">
        <v>172</v>
      </c>
      <c r="P508" s="35"/>
      <c r="Q508" s="40"/>
      <c r="R508" s="37" t="str">
        <f t="shared" si="24"/>
        <v/>
      </c>
      <c r="S508" s="4"/>
      <c r="T508" s="41"/>
      <c r="U508" s="41"/>
      <c r="V508" s="4"/>
      <c r="W508" s="4" t="s">
        <v>166</v>
      </c>
      <c r="X508" s="4" t="s">
        <v>166</v>
      </c>
      <c r="Y508" s="4" t="s">
        <v>166</v>
      </c>
      <c r="Z508" s="4"/>
      <c r="AA508" s="39" t="s">
        <v>52</v>
      </c>
      <c r="AB508" s="39" t="s">
        <v>397</v>
      </c>
      <c r="AC508" s="39" t="s">
        <v>52</v>
      </c>
      <c r="AD508" s="39" t="s">
        <v>397</v>
      </c>
      <c r="AE508" s="39"/>
      <c r="AF508" s="39"/>
      <c r="AG508" s="4"/>
    </row>
    <row r="509" spans="1:33">
      <c r="A509" s="19" t="s">
        <v>782</v>
      </c>
      <c r="B509" s="19" t="s">
        <v>786</v>
      </c>
      <c r="C509" s="19" t="s">
        <v>787</v>
      </c>
      <c r="D509" s="19" t="s">
        <v>48</v>
      </c>
      <c r="E509" s="41"/>
      <c r="F509" s="19" t="s">
        <v>785</v>
      </c>
      <c r="G509" s="19" t="s">
        <v>57</v>
      </c>
      <c r="H509" s="19">
        <v>45517</v>
      </c>
      <c r="I509" s="19">
        <v>45793</v>
      </c>
      <c r="J509" s="34">
        <f t="shared" si="23"/>
        <v>277</v>
      </c>
      <c r="O509" s="4" t="s">
        <v>172</v>
      </c>
      <c r="P509" s="35"/>
      <c r="Q509" s="40"/>
      <c r="R509" s="37" t="str">
        <f t="shared" si="24"/>
        <v/>
      </c>
      <c r="S509" s="4"/>
      <c r="T509" s="41"/>
      <c r="U509" s="41"/>
      <c r="V509" s="4"/>
      <c r="W509" s="4" t="s">
        <v>166</v>
      </c>
      <c r="X509" s="4" t="s">
        <v>166</v>
      </c>
      <c r="Y509" s="4" t="s">
        <v>166</v>
      </c>
      <c r="Z509" s="4"/>
      <c r="AA509" s="39" t="s">
        <v>52</v>
      </c>
      <c r="AB509" s="39" t="s">
        <v>397</v>
      </c>
      <c r="AC509" s="39" t="s">
        <v>52</v>
      </c>
      <c r="AD509" s="39" t="s">
        <v>397</v>
      </c>
      <c r="AE509" s="39"/>
      <c r="AF509" s="39"/>
      <c r="AG509" s="4"/>
    </row>
    <row r="510" spans="1:33">
      <c r="A510" s="19" t="s">
        <v>782</v>
      </c>
      <c r="B510" s="19" t="s">
        <v>788</v>
      </c>
      <c r="C510" s="19" t="s">
        <v>789</v>
      </c>
      <c r="D510" s="19" t="s">
        <v>54</v>
      </c>
      <c r="E510" s="41"/>
      <c r="F510" s="19" t="s">
        <v>790</v>
      </c>
      <c r="G510" s="19">
        <v>45540</v>
      </c>
      <c r="H510" s="19">
        <v>45394</v>
      </c>
      <c r="I510" s="19">
        <v>45677</v>
      </c>
      <c r="J510" s="34">
        <f t="shared" si="23"/>
        <v>284</v>
      </c>
      <c r="O510" s="4" t="s">
        <v>172</v>
      </c>
      <c r="P510" s="35"/>
      <c r="Q510" s="40"/>
      <c r="R510" s="37" t="str">
        <f t="shared" si="24"/>
        <v/>
      </c>
      <c r="S510" s="4"/>
      <c r="T510" s="41"/>
      <c r="U510" s="41"/>
      <c r="V510" s="4"/>
      <c r="W510" s="4" t="s">
        <v>162</v>
      </c>
      <c r="X510" s="4" t="s">
        <v>166</v>
      </c>
      <c r="Y510" s="4" t="s">
        <v>166</v>
      </c>
      <c r="Z510" s="4" t="s">
        <v>166</v>
      </c>
      <c r="AA510" s="39" t="s">
        <v>52</v>
      </c>
      <c r="AB510" s="39" t="s">
        <v>397</v>
      </c>
      <c r="AC510" s="39" t="s">
        <v>52</v>
      </c>
      <c r="AD510" s="39" t="s">
        <v>397</v>
      </c>
      <c r="AE510" s="39" t="s">
        <v>52</v>
      </c>
      <c r="AF510" s="39" t="s">
        <v>397</v>
      </c>
      <c r="AG510" s="4"/>
    </row>
    <row r="511" spans="1:33">
      <c r="A511" s="19" t="s">
        <v>782</v>
      </c>
      <c r="B511" s="19" t="s">
        <v>791</v>
      </c>
      <c r="C511" s="19" t="s">
        <v>651</v>
      </c>
      <c r="D511" s="19" t="s">
        <v>48</v>
      </c>
      <c r="E511" s="41"/>
      <c r="F511" s="19" t="s">
        <v>792</v>
      </c>
      <c r="G511" s="19">
        <v>45212</v>
      </c>
      <c r="H511" s="19">
        <v>45061</v>
      </c>
      <c r="I511" s="19">
        <v>45483</v>
      </c>
      <c r="J511" s="34">
        <f t="shared" si="23"/>
        <v>423</v>
      </c>
      <c r="O511" s="4" t="s">
        <v>166</v>
      </c>
      <c r="P511" s="35"/>
      <c r="Q511" s="40"/>
      <c r="R511" s="37" t="str">
        <f t="shared" si="24"/>
        <v/>
      </c>
      <c r="S511" s="4"/>
      <c r="T511" s="41"/>
      <c r="U511" s="41"/>
      <c r="V511" s="4"/>
      <c r="W511" s="4" t="s">
        <v>166</v>
      </c>
      <c r="X511" s="4" t="s">
        <v>166</v>
      </c>
      <c r="Y511" s="4" t="s">
        <v>166</v>
      </c>
      <c r="Z511" s="4" t="s">
        <v>166</v>
      </c>
      <c r="AA511" s="39" t="s">
        <v>52</v>
      </c>
      <c r="AB511" s="39" t="s">
        <v>397</v>
      </c>
      <c r="AC511" s="39" t="s">
        <v>52</v>
      </c>
      <c r="AD511" s="39" t="s">
        <v>397</v>
      </c>
      <c r="AE511" s="39" t="s">
        <v>52</v>
      </c>
      <c r="AF511" s="39" t="s">
        <v>397</v>
      </c>
      <c r="AG511" s="4"/>
    </row>
    <row r="512" spans="1:33">
      <c r="A512" s="19" t="s">
        <v>782</v>
      </c>
      <c r="B512" s="19" t="s">
        <v>793</v>
      </c>
      <c r="C512" s="19" t="s">
        <v>649</v>
      </c>
      <c r="D512" s="19" t="s">
        <v>48</v>
      </c>
      <c r="E512" s="41"/>
      <c r="F512" s="19" t="s">
        <v>790</v>
      </c>
      <c r="G512" s="19" t="s">
        <v>57</v>
      </c>
      <c r="H512" s="19">
        <v>45120</v>
      </c>
      <c r="I512" s="19">
        <v>45481</v>
      </c>
      <c r="J512" s="34">
        <f t="shared" si="23"/>
        <v>362</v>
      </c>
      <c r="O512" s="4" t="s">
        <v>166</v>
      </c>
      <c r="P512" s="35"/>
      <c r="Q512" s="40"/>
      <c r="R512" s="37" t="str">
        <f t="shared" si="24"/>
        <v/>
      </c>
      <c r="S512" s="4"/>
      <c r="T512" s="41"/>
      <c r="U512" s="41"/>
      <c r="V512" s="4"/>
      <c r="W512" s="4" t="s">
        <v>162</v>
      </c>
      <c r="X512" s="4" t="s">
        <v>166</v>
      </c>
      <c r="Y512" s="4" t="s">
        <v>166</v>
      </c>
      <c r="Z512" s="4" t="s">
        <v>166</v>
      </c>
      <c r="AA512" s="39" t="s">
        <v>52</v>
      </c>
      <c r="AB512" s="39" t="s">
        <v>397</v>
      </c>
      <c r="AC512" s="39" t="s">
        <v>52</v>
      </c>
      <c r="AD512" s="39" t="s">
        <v>397</v>
      </c>
      <c r="AE512" s="39" t="s">
        <v>52</v>
      </c>
      <c r="AF512" s="39" t="s">
        <v>397</v>
      </c>
      <c r="AG512" s="4"/>
    </row>
    <row r="513" spans="1:33">
      <c r="A513" s="19" t="s">
        <v>782</v>
      </c>
      <c r="B513" s="19" t="s">
        <v>794</v>
      </c>
      <c r="C513" s="19" t="s">
        <v>640</v>
      </c>
      <c r="D513" s="19" t="s">
        <v>48</v>
      </c>
      <c r="E513" s="41"/>
      <c r="F513" s="19" t="s">
        <v>790</v>
      </c>
      <c r="G513" s="19" t="s">
        <v>57</v>
      </c>
      <c r="H513" s="19">
        <v>45247</v>
      </c>
      <c r="I513" s="19">
        <v>45422</v>
      </c>
      <c r="J513" s="34">
        <f t="shared" si="23"/>
        <v>176</v>
      </c>
      <c r="O513" s="4" t="s">
        <v>166</v>
      </c>
      <c r="P513" s="35"/>
      <c r="Q513" s="40"/>
      <c r="R513" s="37" t="str">
        <f t="shared" si="24"/>
        <v/>
      </c>
      <c r="S513" s="4"/>
      <c r="T513" s="41"/>
      <c r="U513" s="41"/>
      <c r="V513" s="4"/>
      <c r="W513" s="4" t="s">
        <v>166</v>
      </c>
      <c r="X513" s="4" t="s">
        <v>166</v>
      </c>
      <c r="Y513" s="4" t="s">
        <v>166</v>
      </c>
      <c r="Z513" s="4" t="s">
        <v>166</v>
      </c>
      <c r="AA513" s="39" t="s">
        <v>52</v>
      </c>
      <c r="AB513" s="39" t="s">
        <v>397</v>
      </c>
      <c r="AC513" s="39" t="s">
        <v>52</v>
      </c>
      <c r="AD513" s="39" t="s">
        <v>397</v>
      </c>
      <c r="AE513" s="39" t="s">
        <v>52</v>
      </c>
      <c r="AF513" s="39" t="s">
        <v>397</v>
      </c>
      <c r="AG513" s="4"/>
    </row>
    <row r="514" spans="1:33">
      <c r="A514" s="19" t="s">
        <v>782</v>
      </c>
      <c r="B514" s="19" t="s">
        <v>795</v>
      </c>
      <c r="C514" s="19" t="s">
        <v>784</v>
      </c>
      <c r="D514" s="19" t="s">
        <v>48</v>
      </c>
      <c r="E514" s="41"/>
      <c r="F514" s="19" t="s">
        <v>792</v>
      </c>
      <c r="G514" s="19">
        <v>45577</v>
      </c>
      <c r="H514" s="19">
        <v>45427</v>
      </c>
      <c r="I514" s="19">
        <v>45611</v>
      </c>
      <c r="J514" s="34">
        <f t="shared" si="23"/>
        <v>185</v>
      </c>
      <c r="O514" s="4" t="s">
        <v>172</v>
      </c>
      <c r="P514" s="35"/>
      <c r="Q514" s="40"/>
      <c r="R514" s="37" t="str">
        <f t="shared" si="24"/>
        <v/>
      </c>
      <c r="S514" s="4"/>
      <c r="T514" s="41"/>
      <c r="U514" s="41"/>
      <c r="V514" s="4"/>
      <c r="W514" s="4" t="s">
        <v>166</v>
      </c>
      <c r="X514" s="4" t="s">
        <v>166</v>
      </c>
      <c r="Y514" s="4" t="s">
        <v>166</v>
      </c>
      <c r="Z514" s="4" t="s">
        <v>166</v>
      </c>
      <c r="AA514" s="39" t="s">
        <v>52</v>
      </c>
      <c r="AB514" s="39" t="s">
        <v>397</v>
      </c>
      <c r="AC514" s="39" t="s">
        <v>52</v>
      </c>
      <c r="AD514" s="39" t="s">
        <v>397</v>
      </c>
      <c r="AE514" s="39" t="s">
        <v>52</v>
      </c>
      <c r="AF514" s="39" t="s">
        <v>397</v>
      </c>
      <c r="AG514" s="4"/>
    </row>
    <row r="515" spans="1:33">
      <c r="A515" s="19" t="s">
        <v>782</v>
      </c>
      <c r="B515" s="19" t="s">
        <v>796</v>
      </c>
      <c r="C515" s="19" t="s">
        <v>640</v>
      </c>
      <c r="D515" s="19" t="s">
        <v>48</v>
      </c>
      <c r="E515" s="41"/>
      <c r="F515" s="19" t="s">
        <v>792</v>
      </c>
      <c r="G515" s="19">
        <v>45577</v>
      </c>
      <c r="H515" s="19">
        <v>45437</v>
      </c>
      <c r="I515" s="19">
        <v>45626</v>
      </c>
      <c r="J515" s="34">
        <f t="shared" si="23"/>
        <v>190</v>
      </c>
      <c r="O515" s="4" t="s">
        <v>172</v>
      </c>
      <c r="P515" s="35"/>
      <c r="Q515" s="40"/>
      <c r="R515" s="37" t="str">
        <f t="shared" si="24"/>
        <v/>
      </c>
      <c r="S515" s="4"/>
      <c r="T515" s="41"/>
      <c r="U515" s="41"/>
      <c r="V515" s="4"/>
      <c r="W515" s="4" t="s">
        <v>166</v>
      </c>
      <c r="X515" s="4" t="s">
        <v>166</v>
      </c>
      <c r="Y515" s="4" t="s">
        <v>166</v>
      </c>
      <c r="Z515" s="4" t="s">
        <v>166</v>
      </c>
      <c r="AA515" s="39" t="s">
        <v>52</v>
      </c>
      <c r="AB515" s="39" t="s">
        <v>397</v>
      </c>
      <c r="AC515" s="39" t="s">
        <v>52</v>
      </c>
      <c r="AD515" s="39" t="s">
        <v>397</v>
      </c>
      <c r="AE515" s="39" t="s">
        <v>52</v>
      </c>
      <c r="AF515" s="39" t="s">
        <v>397</v>
      </c>
      <c r="AG515" s="4"/>
    </row>
    <row r="516" spans="1:33">
      <c r="A516" s="19" t="s">
        <v>782</v>
      </c>
      <c r="B516" s="19" t="s">
        <v>797</v>
      </c>
      <c r="C516" s="19" t="s">
        <v>798</v>
      </c>
      <c r="D516" s="19" t="s">
        <v>48</v>
      </c>
      <c r="E516" s="41"/>
      <c r="F516" s="19" t="s">
        <v>799</v>
      </c>
      <c r="G516" s="19">
        <v>45577</v>
      </c>
      <c r="H516" s="19">
        <v>45450</v>
      </c>
      <c r="I516" s="19">
        <v>45638</v>
      </c>
      <c r="J516" s="34">
        <f t="shared" si="23"/>
        <v>189</v>
      </c>
      <c r="O516" s="4" t="s">
        <v>172</v>
      </c>
      <c r="P516" s="35"/>
      <c r="Q516" s="40"/>
      <c r="R516" s="37" t="str">
        <f t="shared" si="24"/>
        <v/>
      </c>
      <c r="S516" s="4"/>
      <c r="T516" s="41"/>
      <c r="U516" s="41"/>
      <c r="V516" s="4"/>
      <c r="W516" s="4" t="s">
        <v>166</v>
      </c>
      <c r="X516" s="4" t="s">
        <v>166</v>
      </c>
      <c r="Y516" s="4" t="s">
        <v>166</v>
      </c>
      <c r="Z516" s="4" t="s">
        <v>166</v>
      </c>
      <c r="AA516" s="39" t="s">
        <v>52</v>
      </c>
      <c r="AB516" s="39" t="s">
        <v>397</v>
      </c>
      <c r="AC516" s="39" t="s">
        <v>52</v>
      </c>
      <c r="AD516" s="39" t="s">
        <v>397</v>
      </c>
      <c r="AE516" s="39" t="s">
        <v>52</v>
      </c>
      <c r="AF516" s="39" t="s">
        <v>397</v>
      </c>
      <c r="AG516" s="4"/>
    </row>
    <row r="517" spans="1:33">
      <c r="A517" s="19" t="s">
        <v>782</v>
      </c>
      <c r="B517" s="19" t="s">
        <v>800</v>
      </c>
      <c r="C517" s="19" t="s">
        <v>629</v>
      </c>
      <c r="D517" s="19" t="s">
        <v>48</v>
      </c>
      <c r="E517" s="41"/>
      <c r="F517" s="19" t="s">
        <v>790</v>
      </c>
      <c r="G517" s="19" t="s">
        <v>57</v>
      </c>
      <c r="H517" s="19">
        <v>45376</v>
      </c>
      <c r="I517" s="19">
        <v>45656</v>
      </c>
      <c r="J517" s="34">
        <f t="shared" si="23"/>
        <v>281</v>
      </c>
      <c r="O517" s="4" t="s">
        <v>172</v>
      </c>
      <c r="P517" s="35"/>
      <c r="Q517" s="40"/>
      <c r="R517" s="37" t="str">
        <f t="shared" si="24"/>
        <v/>
      </c>
      <c r="S517" s="4"/>
      <c r="T517" s="41"/>
      <c r="U517" s="41"/>
      <c r="V517" s="4"/>
      <c r="W517" s="4" t="s">
        <v>166</v>
      </c>
      <c r="X517" s="4" t="s">
        <v>166</v>
      </c>
      <c r="Y517" s="4" t="s">
        <v>166</v>
      </c>
      <c r="Z517" s="4" t="s">
        <v>166</v>
      </c>
      <c r="AA517" s="39" t="s">
        <v>52</v>
      </c>
      <c r="AB517" s="39" t="s">
        <v>397</v>
      </c>
      <c r="AC517" s="39" t="s">
        <v>52</v>
      </c>
      <c r="AD517" s="39" t="s">
        <v>397</v>
      </c>
      <c r="AE517" s="39" t="s">
        <v>52</v>
      </c>
      <c r="AF517" s="39" t="s">
        <v>397</v>
      </c>
      <c r="AG517" s="4"/>
    </row>
    <row r="518" spans="1:33">
      <c r="A518" s="19" t="s">
        <v>782</v>
      </c>
      <c r="B518" s="19" t="s">
        <v>801</v>
      </c>
      <c r="C518" s="19" t="s">
        <v>581</v>
      </c>
      <c r="D518" s="19" t="s">
        <v>48</v>
      </c>
      <c r="E518" s="41"/>
      <c r="F518" s="19" t="s">
        <v>790</v>
      </c>
      <c r="G518" s="19" t="s">
        <v>57</v>
      </c>
      <c r="H518" s="19">
        <v>45372</v>
      </c>
      <c r="I518" s="19" t="s">
        <v>619</v>
      </c>
      <c r="J518" s="34" t="e">
        <f t="shared" si="23"/>
        <v>#VALUE!</v>
      </c>
      <c r="O518" s="4" t="s">
        <v>172</v>
      </c>
      <c r="P518" s="35"/>
      <c r="Q518" s="40"/>
      <c r="R518" s="37" t="str">
        <f t="shared" si="24"/>
        <v/>
      </c>
      <c r="S518" s="4"/>
      <c r="T518" s="41"/>
      <c r="U518" s="41"/>
      <c r="V518" s="4"/>
      <c r="W518" s="4" t="s">
        <v>162</v>
      </c>
      <c r="X518" s="4"/>
      <c r="Y518" s="4"/>
      <c r="Z518" s="4"/>
      <c r="AA518" s="39"/>
      <c r="AB518" s="39"/>
      <c r="AC518" s="39"/>
      <c r="AD518" s="39"/>
      <c r="AE518" s="39"/>
      <c r="AF518" s="39"/>
      <c r="AG518" s="4" t="s">
        <v>123</v>
      </c>
    </row>
    <row r="519" spans="1:33">
      <c r="A519" s="19" t="s">
        <v>782</v>
      </c>
      <c r="B519" s="19" t="s">
        <v>802</v>
      </c>
      <c r="C519" s="19" t="s">
        <v>803</v>
      </c>
      <c r="D519" s="19" t="s">
        <v>48</v>
      </c>
      <c r="E519" s="41"/>
      <c r="F519" s="19" t="s">
        <v>790</v>
      </c>
      <c r="G519" s="19" t="s">
        <v>57</v>
      </c>
      <c r="H519" s="19">
        <v>45313</v>
      </c>
      <c r="I519" s="19">
        <v>45593</v>
      </c>
      <c r="J519" s="34">
        <f t="shared" si="23"/>
        <v>281</v>
      </c>
      <c r="O519" s="4" t="s">
        <v>172</v>
      </c>
      <c r="P519" s="35"/>
      <c r="Q519" s="40"/>
      <c r="R519" s="37" t="str">
        <f t="shared" si="24"/>
        <v/>
      </c>
      <c r="S519" s="4"/>
      <c r="T519" s="41"/>
      <c r="U519" s="41"/>
      <c r="V519" s="4"/>
      <c r="W519" s="4" t="s">
        <v>166</v>
      </c>
      <c r="X519" s="4" t="s">
        <v>166</v>
      </c>
      <c r="Y519" s="4" t="s">
        <v>166</v>
      </c>
      <c r="Z519" s="4" t="s">
        <v>166</v>
      </c>
      <c r="AA519" s="39" t="s">
        <v>52</v>
      </c>
      <c r="AB519" s="39" t="s">
        <v>397</v>
      </c>
      <c r="AC519" s="39" t="s">
        <v>52</v>
      </c>
      <c r="AD519" s="39" t="s">
        <v>397</v>
      </c>
      <c r="AE519" s="39" t="s">
        <v>52</v>
      </c>
      <c r="AF519" s="39" t="s">
        <v>397</v>
      </c>
      <c r="AG519" s="4"/>
    </row>
    <row r="520" spans="1:33">
      <c r="A520" s="19" t="s">
        <v>782</v>
      </c>
      <c r="B520" s="19" t="s">
        <v>804</v>
      </c>
      <c r="C520" s="19" t="s">
        <v>784</v>
      </c>
      <c r="D520" s="19" t="s">
        <v>48</v>
      </c>
      <c r="E520" s="41"/>
      <c r="F520" s="19" t="s">
        <v>790</v>
      </c>
      <c r="G520" s="19" t="s">
        <v>57</v>
      </c>
      <c r="H520" s="19">
        <v>45015</v>
      </c>
      <c r="I520" s="19">
        <v>45479</v>
      </c>
      <c r="J520" s="34">
        <f t="shared" si="23"/>
        <v>465</v>
      </c>
      <c r="O520" s="4" t="s">
        <v>166</v>
      </c>
      <c r="P520" s="35"/>
      <c r="Q520" s="40"/>
      <c r="R520" s="37" t="str">
        <f t="shared" si="24"/>
        <v/>
      </c>
      <c r="S520" s="4"/>
      <c r="T520" s="41"/>
      <c r="U520" s="41"/>
      <c r="V520" s="4"/>
      <c r="W520" s="4" t="s">
        <v>172</v>
      </c>
      <c r="X520" s="4" t="s">
        <v>166</v>
      </c>
      <c r="Y520" s="4" t="s">
        <v>166</v>
      </c>
      <c r="Z520" s="4" t="s">
        <v>166</v>
      </c>
      <c r="AA520" s="39" t="s">
        <v>52</v>
      </c>
      <c r="AB520" s="39" t="s">
        <v>397</v>
      </c>
      <c r="AC520" s="39" t="s">
        <v>52</v>
      </c>
      <c r="AD520" s="39" t="s">
        <v>397</v>
      </c>
      <c r="AE520" s="39" t="s">
        <v>52</v>
      </c>
      <c r="AF520" s="39" t="s">
        <v>397</v>
      </c>
      <c r="AG520" s="4"/>
    </row>
    <row r="521" spans="1:33">
      <c r="A521" s="19" t="s">
        <v>782</v>
      </c>
      <c r="B521" s="19" t="s">
        <v>805</v>
      </c>
      <c r="C521" s="19" t="s">
        <v>586</v>
      </c>
      <c r="D521" s="19" t="s">
        <v>48</v>
      </c>
      <c r="E521" s="41"/>
      <c r="F521" s="19" t="s">
        <v>790</v>
      </c>
      <c r="G521" s="19" t="s">
        <v>57</v>
      </c>
      <c r="H521" s="19">
        <v>45117</v>
      </c>
      <c r="I521" s="19">
        <v>45300</v>
      </c>
      <c r="J521" s="34">
        <f t="shared" si="23"/>
        <v>184</v>
      </c>
      <c r="O521" s="4" t="s">
        <v>172</v>
      </c>
      <c r="P521" s="35"/>
      <c r="Q521" s="40"/>
      <c r="R521" s="37" t="str">
        <f t="shared" si="24"/>
        <v/>
      </c>
      <c r="S521" s="4"/>
      <c r="T521" s="41"/>
      <c r="U521" s="41"/>
      <c r="V521" s="4"/>
      <c r="W521" s="4" t="s">
        <v>166</v>
      </c>
      <c r="X521" s="4" t="s">
        <v>166</v>
      </c>
      <c r="Y521" s="4" t="s">
        <v>166</v>
      </c>
      <c r="Z521" s="4" t="s">
        <v>166</v>
      </c>
      <c r="AA521" s="39" t="s">
        <v>52</v>
      </c>
      <c r="AB521" s="39" t="s">
        <v>397</v>
      </c>
      <c r="AC521" s="39" t="s">
        <v>52</v>
      </c>
      <c r="AD521" s="39" t="s">
        <v>397</v>
      </c>
      <c r="AE521" s="39" t="s">
        <v>52</v>
      </c>
      <c r="AF521" s="39" t="s">
        <v>397</v>
      </c>
      <c r="AG521" s="4"/>
    </row>
    <row r="522" spans="1:33">
      <c r="A522" s="19" t="s">
        <v>782</v>
      </c>
      <c r="B522" s="19" t="s">
        <v>806</v>
      </c>
      <c r="C522" s="19" t="s">
        <v>600</v>
      </c>
      <c r="D522" s="19" t="s">
        <v>54</v>
      </c>
      <c r="E522" s="41"/>
      <c r="F522" s="19" t="s">
        <v>799</v>
      </c>
      <c r="G522" s="19">
        <v>45577</v>
      </c>
      <c r="H522" s="19">
        <v>45412</v>
      </c>
      <c r="I522" s="19">
        <v>45687</v>
      </c>
      <c r="J522" s="34">
        <f t="shared" si="23"/>
        <v>276</v>
      </c>
      <c r="O522" s="4" t="s">
        <v>166</v>
      </c>
      <c r="P522" s="35"/>
      <c r="Q522" s="40"/>
      <c r="R522" s="37" t="str">
        <f t="shared" si="24"/>
        <v/>
      </c>
      <c r="S522" s="4"/>
      <c r="T522" s="41"/>
      <c r="U522" s="41"/>
      <c r="V522" s="4"/>
      <c r="W522" s="4" t="s">
        <v>166</v>
      </c>
      <c r="X522" s="4" t="s">
        <v>166</v>
      </c>
      <c r="Y522" s="4" t="s">
        <v>166</v>
      </c>
      <c r="Z522" s="4" t="s">
        <v>166</v>
      </c>
      <c r="AA522" s="39" t="s">
        <v>52</v>
      </c>
      <c r="AB522" s="39" t="s">
        <v>397</v>
      </c>
      <c r="AC522" s="39" t="s">
        <v>52</v>
      </c>
      <c r="AD522" s="39" t="s">
        <v>397</v>
      </c>
      <c r="AE522" s="39" t="s">
        <v>52</v>
      </c>
      <c r="AF522" s="39" t="s">
        <v>397</v>
      </c>
      <c r="AG522" s="4"/>
    </row>
    <row r="523" spans="1:33">
      <c r="A523" s="19" t="s">
        <v>782</v>
      </c>
      <c r="B523" s="19" t="s">
        <v>807</v>
      </c>
      <c r="C523" s="19" t="s">
        <v>787</v>
      </c>
      <c r="D523" s="19" t="s">
        <v>48</v>
      </c>
      <c r="E523" s="41"/>
      <c r="F523" s="19" t="s">
        <v>792</v>
      </c>
      <c r="G523" s="19">
        <v>45264</v>
      </c>
      <c r="H523" s="19">
        <v>45138</v>
      </c>
      <c r="I523" s="19">
        <v>45324</v>
      </c>
      <c r="J523" s="34">
        <f t="shared" si="23"/>
        <v>187</v>
      </c>
      <c r="O523" s="4" t="s">
        <v>166</v>
      </c>
      <c r="P523" s="35"/>
      <c r="Q523" s="40"/>
      <c r="R523" s="37" t="str">
        <f t="shared" si="24"/>
        <v/>
      </c>
      <c r="S523" s="4"/>
      <c r="T523" s="41"/>
      <c r="U523" s="41"/>
      <c r="V523" s="4"/>
      <c r="W523" s="4" t="s">
        <v>166</v>
      </c>
      <c r="X523" s="4" t="s">
        <v>166</v>
      </c>
      <c r="Y523" s="4" t="s">
        <v>166</v>
      </c>
      <c r="Z523" s="4" t="s">
        <v>166</v>
      </c>
      <c r="AA523" s="39" t="s">
        <v>52</v>
      </c>
      <c r="AB523" s="39" t="s">
        <v>397</v>
      </c>
      <c r="AC523" s="39" t="s">
        <v>52</v>
      </c>
      <c r="AD523" s="39" t="s">
        <v>397</v>
      </c>
      <c r="AE523" s="39" t="s">
        <v>52</v>
      </c>
      <c r="AF523" s="39" t="s">
        <v>397</v>
      </c>
      <c r="AG523" s="4"/>
    </row>
    <row r="524" spans="1:33">
      <c r="A524" s="19" t="s">
        <v>782</v>
      </c>
      <c r="B524" s="19" t="s">
        <v>808</v>
      </c>
      <c r="C524" s="19" t="s">
        <v>571</v>
      </c>
      <c r="D524" s="19" t="s">
        <v>48</v>
      </c>
      <c r="E524" s="41"/>
      <c r="F524" s="19" t="s">
        <v>792</v>
      </c>
      <c r="G524" s="19">
        <v>45246</v>
      </c>
      <c r="H524" s="19">
        <v>45066</v>
      </c>
      <c r="I524" s="19">
        <v>45239</v>
      </c>
      <c r="J524" s="34">
        <f t="shared" si="23"/>
        <v>174</v>
      </c>
      <c r="O524" s="4" t="s">
        <v>172</v>
      </c>
      <c r="P524" s="35"/>
      <c r="Q524" s="40"/>
      <c r="R524" s="37" t="str">
        <f t="shared" si="24"/>
        <v/>
      </c>
      <c r="S524" s="4"/>
      <c r="T524" s="41"/>
      <c r="U524" s="41"/>
      <c r="V524" s="4"/>
      <c r="W524" s="4" t="s">
        <v>166</v>
      </c>
      <c r="X524" s="4" t="s">
        <v>166</v>
      </c>
      <c r="Y524" s="4" t="s">
        <v>166</v>
      </c>
      <c r="Z524" s="4" t="s">
        <v>166</v>
      </c>
      <c r="AA524" s="39" t="s">
        <v>52</v>
      </c>
      <c r="AB524" s="39" t="s">
        <v>397</v>
      </c>
      <c r="AC524" s="39" t="s">
        <v>52</v>
      </c>
      <c r="AD524" s="39" t="s">
        <v>397</v>
      </c>
      <c r="AE524" s="39" t="s">
        <v>52</v>
      </c>
      <c r="AF524" s="39" t="s">
        <v>397</v>
      </c>
      <c r="AG524" s="4"/>
    </row>
    <row r="525" spans="1:33">
      <c r="A525" s="19" t="s">
        <v>782</v>
      </c>
      <c r="B525" s="19" t="s">
        <v>809</v>
      </c>
      <c r="C525" s="19" t="s">
        <v>575</v>
      </c>
      <c r="D525" s="19" t="s">
        <v>48</v>
      </c>
      <c r="E525" s="41"/>
      <c r="F525" s="19" t="s">
        <v>792</v>
      </c>
      <c r="G525" s="19">
        <v>45162</v>
      </c>
      <c r="H525" s="19">
        <v>45001</v>
      </c>
      <c r="I525" s="19">
        <v>45203</v>
      </c>
      <c r="J525" s="34">
        <f t="shared" si="23"/>
        <v>203</v>
      </c>
      <c r="O525" s="4" t="s">
        <v>166</v>
      </c>
      <c r="P525" s="35"/>
      <c r="Q525" s="40"/>
      <c r="R525" s="37" t="str">
        <f t="shared" si="24"/>
        <v/>
      </c>
      <c r="S525" s="4"/>
      <c r="T525" s="41"/>
      <c r="U525" s="41"/>
      <c r="V525" s="4"/>
      <c r="W525" s="4" t="s">
        <v>162</v>
      </c>
      <c r="X525" s="4" t="s">
        <v>166</v>
      </c>
      <c r="Y525" s="4" t="s">
        <v>166</v>
      </c>
      <c r="Z525" s="4" t="s">
        <v>166</v>
      </c>
      <c r="AA525" s="39" t="s">
        <v>52</v>
      </c>
      <c r="AB525" s="39" t="s">
        <v>397</v>
      </c>
      <c r="AC525" s="39" t="s">
        <v>52</v>
      </c>
      <c r="AD525" s="39" t="s">
        <v>397</v>
      </c>
      <c r="AE525" s="39" t="s">
        <v>52</v>
      </c>
      <c r="AF525" s="39" t="s">
        <v>397</v>
      </c>
      <c r="AG525" s="4"/>
    </row>
    <row r="526" spans="1:33">
      <c r="A526" s="19" t="s">
        <v>782</v>
      </c>
      <c r="B526" s="19" t="s">
        <v>810</v>
      </c>
      <c r="C526" s="19" t="s">
        <v>811</v>
      </c>
      <c r="D526" s="19" t="s">
        <v>48</v>
      </c>
      <c r="E526" s="41"/>
      <c r="F526" s="19" t="s">
        <v>792</v>
      </c>
      <c r="G526" s="19">
        <v>45343</v>
      </c>
      <c r="H526" s="19">
        <v>45171</v>
      </c>
      <c r="I526" s="19">
        <v>45475</v>
      </c>
      <c r="J526" s="34">
        <f t="shared" si="23"/>
        <v>305</v>
      </c>
      <c r="O526" s="4" t="s">
        <v>172</v>
      </c>
      <c r="P526" s="35"/>
      <c r="Q526" s="40"/>
      <c r="R526" s="37" t="str">
        <f t="shared" si="24"/>
        <v/>
      </c>
      <c r="S526" s="4"/>
      <c r="T526" s="41"/>
      <c r="U526" s="41"/>
      <c r="V526" s="4"/>
      <c r="W526" s="4" t="s">
        <v>166</v>
      </c>
      <c r="X526" s="4" t="s">
        <v>166</v>
      </c>
      <c r="Y526" s="4" t="s">
        <v>166</v>
      </c>
      <c r="Z526" s="4" t="s">
        <v>166</v>
      </c>
      <c r="AA526" s="39" t="s">
        <v>52</v>
      </c>
      <c r="AB526" s="39" t="s">
        <v>397</v>
      </c>
      <c r="AC526" s="39" t="s">
        <v>52</v>
      </c>
      <c r="AD526" s="39" t="s">
        <v>397</v>
      </c>
      <c r="AE526" s="39" t="s">
        <v>52</v>
      </c>
      <c r="AF526" s="39" t="s">
        <v>397</v>
      </c>
      <c r="AG526" s="4"/>
    </row>
    <row r="527" spans="1:33">
      <c r="A527" s="19" t="s">
        <v>782</v>
      </c>
      <c r="B527" s="19" t="s">
        <v>812</v>
      </c>
      <c r="C527" s="19" t="s">
        <v>569</v>
      </c>
      <c r="D527" s="19" t="s">
        <v>48</v>
      </c>
      <c r="E527" s="41"/>
      <c r="F527" s="19" t="s">
        <v>792</v>
      </c>
      <c r="G527" s="19" t="s">
        <v>57</v>
      </c>
      <c r="H527" s="19">
        <v>45094</v>
      </c>
      <c r="I527" s="19">
        <v>45285</v>
      </c>
      <c r="J527" s="34">
        <f t="shared" si="23"/>
        <v>192</v>
      </c>
      <c r="O527" s="4" t="s">
        <v>172</v>
      </c>
      <c r="P527" s="35"/>
      <c r="Q527" s="40"/>
      <c r="R527" s="37" t="str">
        <f t="shared" si="24"/>
        <v/>
      </c>
      <c r="S527" s="4"/>
      <c r="T527" s="41"/>
      <c r="U527" s="41"/>
      <c r="V527" s="4"/>
      <c r="W527" s="4" t="s">
        <v>166</v>
      </c>
      <c r="X527" s="4" t="s">
        <v>166</v>
      </c>
      <c r="Y527" s="4" t="s">
        <v>166</v>
      </c>
      <c r="Z527" s="4" t="s">
        <v>172</v>
      </c>
      <c r="AA527" s="39" t="s">
        <v>52</v>
      </c>
      <c r="AB527" s="39" t="s">
        <v>397</v>
      </c>
      <c r="AC527" s="39" t="s">
        <v>52</v>
      </c>
      <c r="AD527" s="39" t="s">
        <v>397</v>
      </c>
      <c r="AE527" s="39" t="s">
        <v>108</v>
      </c>
      <c r="AF527" s="39" t="s">
        <v>214</v>
      </c>
      <c r="AG527" s="4" t="s">
        <v>214</v>
      </c>
    </row>
    <row r="528" spans="1:33">
      <c r="A528" s="19" t="s">
        <v>782</v>
      </c>
      <c r="B528" s="19" t="s">
        <v>813</v>
      </c>
      <c r="C528" s="19" t="s">
        <v>814</v>
      </c>
      <c r="D528" s="19" t="s">
        <v>54</v>
      </c>
      <c r="E528" s="41"/>
      <c r="F528" s="19" t="s">
        <v>792</v>
      </c>
      <c r="G528" s="19">
        <v>45212</v>
      </c>
      <c r="H528" s="19">
        <v>45057</v>
      </c>
      <c r="I528" s="19">
        <v>45244</v>
      </c>
      <c r="J528" s="34">
        <f t="shared" si="23"/>
        <v>188</v>
      </c>
      <c r="O528" s="4" t="s">
        <v>172</v>
      </c>
      <c r="P528" s="35"/>
      <c r="Q528" s="40"/>
      <c r="R528" s="37" t="str">
        <f t="shared" si="24"/>
        <v/>
      </c>
      <c r="S528" s="4"/>
      <c r="T528" s="41"/>
      <c r="U528" s="41"/>
      <c r="V528" s="4"/>
      <c r="W528" s="4" t="s">
        <v>166</v>
      </c>
      <c r="X528" s="4" t="s">
        <v>166</v>
      </c>
      <c r="Y528" s="4" t="s">
        <v>166</v>
      </c>
      <c r="Z528" s="4" t="s">
        <v>166</v>
      </c>
      <c r="AA528" s="39" t="s">
        <v>52</v>
      </c>
      <c r="AB528" s="39" t="s">
        <v>397</v>
      </c>
      <c r="AC528" s="39" t="s">
        <v>52</v>
      </c>
      <c r="AD528" s="39" t="s">
        <v>397</v>
      </c>
      <c r="AE528" s="39" t="s">
        <v>52</v>
      </c>
      <c r="AF528" s="39" t="s">
        <v>397</v>
      </c>
      <c r="AG528" s="4"/>
    </row>
    <row r="529" spans="1:33">
      <c r="A529" s="19" t="s">
        <v>782</v>
      </c>
      <c r="B529" s="19" t="s">
        <v>815</v>
      </c>
      <c r="C529" s="19" t="s">
        <v>816</v>
      </c>
      <c r="D529" s="19" t="s">
        <v>54</v>
      </c>
      <c r="E529" s="41"/>
      <c r="F529" s="19" t="s">
        <v>817</v>
      </c>
      <c r="G529" s="19">
        <v>45406</v>
      </c>
      <c r="H529" s="19">
        <v>45232</v>
      </c>
      <c r="I529" s="19">
        <v>45406</v>
      </c>
      <c r="J529" s="34">
        <f t="shared" si="23"/>
        <v>175</v>
      </c>
      <c r="O529" s="4" t="s">
        <v>166</v>
      </c>
      <c r="P529" s="4" t="s">
        <v>162</v>
      </c>
      <c r="Q529" s="4" t="s">
        <v>162</v>
      </c>
      <c r="R529" s="4" t="s">
        <v>162</v>
      </c>
      <c r="S529" s="4" t="s">
        <v>162</v>
      </c>
      <c r="T529" s="4" t="s">
        <v>162</v>
      </c>
      <c r="U529" s="4" t="s">
        <v>162</v>
      </c>
      <c r="V529" s="4" t="s">
        <v>162</v>
      </c>
      <c r="W529" s="4" t="s">
        <v>166</v>
      </c>
      <c r="X529" s="4" t="s">
        <v>166</v>
      </c>
      <c r="Y529" s="4" t="s">
        <v>166</v>
      </c>
      <c r="Z529" s="4" t="s">
        <v>166</v>
      </c>
      <c r="AA529" s="39" t="s">
        <v>52</v>
      </c>
      <c r="AB529" s="39" t="s">
        <v>397</v>
      </c>
      <c r="AC529" s="39" t="s">
        <v>52</v>
      </c>
      <c r="AD529" s="39" t="s">
        <v>397</v>
      </c>
      <c r="AE529" s="39" t="s">
        <v>52</v>
      </c>
      <c r="AF529" s="39" t="s">
        <v>397</v>
      </c>
      <c r="AG529" s="4"/>
    </row>
    <row r="530" spans="1:33">
      <c r="A530" s="19" t="s">
        <v>782</v>
      </c>
      <c r="B530" s="19" t="s">
        <v>818</v>
      </c>
      <c r="C530" s="19" t="s">
        <v>584</v>
      </c>
      <c r="D530" s="19" t="s">
        <v>48</v>
      </c>
      <c r="E530" s="41"/>
      <c r="F530" s="19" t="s">
        <v>790</v>
      </c>
      <c r="G530" s="19" t="s">
        <v>57</v>
      </c>
      <c r="H530" s="19">
        <v>44964</v>
      </c>
      <c r="I530" s="19">
        <v>45131</v>
      </c>
      <c r="J530" s="34">
        <f t="shared" si="23"/>
        <v>168</v>
      </c>
      <c r="O530" s="4" t="s">
        <v>172</v>
      </c>
      <c r="P530" s="35"/>
      <c r="Q530" s="40"/>
      <c r="R530" s="37" t="str">
        <f t="shared" ref="R530:R536" si="25">IF(AND(P530&lt;&gt;"",Q530&lt;&gt;""),P530/(Q530/100)^2,"")</f>
        <v/>
      </c>
      <c r="S530" s="4"/>
      <c r="T530" s="41"/>
      <c r="U530" s="41"/>
      <c r="V530" s="4"/>
      <c r="W530" s="4" t="s">
        <v>166</v>
      </c>
      <c r="X530" s="4" t="s">
        <v>166</v>
      </c>
      <c r="Y530" s="4" t="s">
        <v>166</v>
      </c>
      <c r="Z530" s="4" t="s">
        <v>166</v>
      </c>
      <c r="AA530" s="39" t="s">
        <v>52</v>
      </c>
      <c r="AB530" s="39" t="s">
        <v>397</v>
      </c>
      <c r="AC530" s="39" t="s">
        <v>52</v>
      </c>
      <c r="AD530" s="39" t="s">
        <v>397</v>
      </c>
      <c r="AE530" s="39" t="s">
        <v>52</v>
      </c>
      <c r="AF530" s="39" t="s">
        <v>397</v>
      </c>
      <c r="AG530" s="4"/>
    </row>
    <row r="531" spans="1:33">
      <c r="A531" s="19" t="s">
        <v>782</v>
      </c>
      <c r="B531" s="19" t="s">
        <v>819</v>
      </c>
      <c r="C531" s="19" t="s">
        <v>789</v>
      </c>
      <c r="D531" s="19" t="s">
        <v>48</v>
      </c>
      <c r="E531" s="41"/>
      <c r="F531" s="19" t="s">
        <v>799</v>
      </c>
      <c r="G531" s="19">
        <v>45162</v>
      </c>
      <c r="H531" s="19">
        <v>45005</v>
      </c>
      <c r="I531" s="19">
        <v>45197</v>
      </c>
      <c r="J531" s="34">
        <f t="shared" ref="J531:J545" si="26">IF(AND(H531&lt;&gt;"",I531&lt;&gt;""),I531-H531+1,"")</f>
        <v>193</v>
      </c>
      <c r="O531" s="4" t="s">
        <v>172</v>
      </c>
      <c r="P531" s="35"/>
      <c r="Q531" s="40"/>
      <c r="R531" s="37" t="str">
        <f t="shared" si="25"/>
        <v/>
      </c>
      <c r="S531" s="4"/>
      <c r="T531" s="41"/>
      <c r="U531" s="41"/>
      <c r="V531" s="4"/>
      <c r="W531" s="4" t="s">
        <v>166</v>
      </c>
      <c r="X531" s="4" t="s">
        <v>172</v>
      </c>
      <c r="Y531" s="4"/>
      <c r="Z531" s="4"/>
      <c r="AA531" s="39" t="s">
        <v>108</v>
      </c>
      <c r="AB531" s="39" t="s">
        <v>456</v>
      </c>
      <c r="AC531" s="39"/>
      <c r="AD531" s="39"/>
      <c r="AE531" s="39"/>
      <c r="AF531" s="39"/>
      <c r="AG531" s="4" t="s">
        <v>456</v>
      </c>
    </row>
    <row r="532" spans="1:33">
      <c r="A532" s="19" t="s">
        <v>782</v>
      </c>
      <c r="B532" s="19" t="s">
        <v>820</v>
      </c>
      <c r="C532" s="19" t="s">
        <v>607</v>
      </c>
      <c r="D532" s="19" t="s">
        <v>48</v>
      </c>
      <c r="E532" s="41"/>
      <c r="F532" s="19" t="s">
        <v>792</v>
      </c>
      <c r="G532" s="19" t="s">
        <v>57</v>
      </c>
      <c r="H532" s="19">
        <v>44866</v>
      </c>
      <c r="I532" s="19">
        <v>45043</v>
      </c>
      <c r="J532" s="34">
        <f t="shared" si="26"/>
        <v>178</v>
      </c>
      <c r="O532" s="4" t="s">
        <v>166</v>
      </c>
      <c r="P532" s="35"/>
      <c r="Q532" s="40"/>
      <c r="R532" s="37" t="str">
        <f t="shared" si="25"/>
        <v/>
      </c>
      <c r="S532" s="4"/>
      <c r="T532" s="41"/>
      <c r="U532" s="41"/>
      <c r="V532" s="4"/>
      <c r="W532" s="4" t="s">
        <v>162</v>
      </c>
      <c r="X532" s="4" t="s">
        <v>166</v>
      </c>
      <c r="Y532" s="4" t="s">
        <v>166</v>
      </c>
      <c r="Z532" s="4" t="s">
        <v>166</v>
      </c>
      <c r="AA532" s="39" t="s">
        <v>52</v>
      </c>
      <c r="AB532" s="39" t="s">
        <v>397</v>
      </c>
      <c r="AC532" s="39" t="s">
        <v>52</v>
      </c>
      <c r="AD532" s="39" t="s">
        <v>397</v>
      </c>
      <c r="AE532" s="39" t="s">
        <v>52</v>
      </c>
      <c r="AF532" s="39" t="s">
        <v>397</v>
      </c>
      <c r="AG532" s="4"/>
    </row>
    <row r="533" spans="1:33">
      <c r="A533" s="19" t="s">
        <v>782</v>
      </c>
      <c r="B533" s="19" t="s">
        <v>821</v>
      </c>
      <c r="C533" s="19" t="s">
        <v>787</v>
      </c>
      <c r="D533" s="19" t="s">
        <v>48</v>
      </c>
      <c r="E533" s="41"/>
      <c r="F533" s="19" t="s">
        <v>792</v>
      </c>
      <c r="G533" s="19">
        <v>45477</v>
      </c>
      <c r="H533" s="19">
        <v>44837</v>
      </c>
      <c r="I533" s="19">
        <v>45022</v>
      </c>
      <c r="J533" s="34">
        <f t="shared" si="26"/>
        <v>186</v>
      </c>
      <c r="O533" s="4" t="s">
        <v>172</v>
      </c>
      <c r="P533" s="35"/>
      <c r="Q533" s="40"/>
      <c r="R533" s="37" t="str">
        <f t="shared" si="25"/>
        <v/>
      </c>
      <c r="S533" s="4"/>
      <c r="T533" s="41"/>
      <c r="U533" s="41"/>
      <c r="V533" s="4"/>
      <c r="W533" s="4" t="s">
        <v>166</v>
      </c>
      <c r="X533" s="4" t="s">
        <v>166</v>
      </c>
      <c r="Y533" s="4" t="s">
        <v>166</v>
      </c>
      <c r="Z533" s="4" t="s">
        <v>166</v>
      </c>
      <c r="AA533" s="39" t="s">
        <v>52</v>
      </c>
      <c r="AB533" s="39" t="s">
        <v>397</v>
      </c>
      <c r="AC533" s="39" t="s">
        <v>52</v>
      </c>
      <c r="AD533" s="39" t="s">
        <v>397</v>
      </c>
      <c r="AE533" s="39" t="s">
        <v>52</v>
      </c>
      <c r="AF533" s="39" t="s">
        <v>397</v>
      </c>
      <c r="AG533" s="4"/>
    </row>
    <row r="534" spans="1:33">
      <c r="A534" s="19" t="s">
        <v>782</v>
      </c>
      <c r="B534" s="19" t="s">
        <v>822</v>
      </c>
      <c r="C534" s="19" t="s">
        <v>629</v>
      </c>
      <c r="D534" s="19" t="s">
        <v>48</v>
      </c>
      <c r="E534" s="41"/>
      <c r="F534" s="19" t="s">
        <v>799</v>
      </c>
      <c r="G534" s="19" t="s">
        <v>57</v>
      </c>
      <c r="H534" s="19">
        <v>44846</v>
      </c>
      <c r="I534" s="19">
        <v>45026</v>
      </c>
      <c r="J534" s="34">
        <f t="shared" si="26"/>
        <v>181</v>
      </c>
      <c r="O534" s="4" t="s">
        <v>172</v>
      </c>
      <c r="P534" s="35"/>
      <c r="Q534" s="40"/>
      <c r="R534" s="37" t="str">
        <f t="shared" si="25"/>
        <v/>
      </c>
      <c r="S534" s="4"/>
      <c r="T534" s="41"/>
      <c r="U534" s="41"/>
      <c r="V534" s="4"/>
      <c r="W534" s="4" t="s">
        <v>166</v>
      </c>
      <c r="X534" s="4" t="s">
        <v>166</v>
      </c>
      <c r="Y534" s="4" t="s">
        <v>166</v>
      </c>
      <c r="Z534" s="4" t="s">
        <v>166</v>
      </c>
      <c r="AA534" s="39" t="s">
        <v>52</v>
      </c>
      <c r="AB534" s="39" t="s">
        <v>397</v>
      </c>
      <c r="AC534" s="39" t="s">
        <v>52</v>
      </c>
      <c r="AD534" s="39" t="s">
        <v>397</v>
      </c>
      <c r="AE534" s="39" t="s">
        <v>52</v>
      </c>
      <c r="AF534" s="39" t="s">
        <v>397</v>
      </c>
      <c r="AG534" s="4"/>
    </row>
    <row r="535" spans="1:33">
      <c r="A535" s="19" t="s">
        <v>782</v>
      </c>
      <c r="B535" s="19" t="s">
        <v>823</v>
      </c>
      <c r="C535" s="19" t="s">
        <v>353</v>
      </c>
      <c r="D535" s="19" t="s">
        <v>54</v>
      </c>
      <c r="E535" s="41"/>
      <c r="F535" s="19" t="s">
        <v>792</v>
      </c>
      <c r="G535" s="19">
        <v>44991</v>
      </c>
      <c r="H535" s="19">
        <v>44834</v>
      </c>
      <c r="I535" s="19">
        <v>45072</v>
      </c>
      <c r="J535" s="34">
        <f t="shared" si="26"/>
        <v>239</v>
      </c>
      <c r="O535" s="4" t="s">
        <v>172</v>
      </c>
      <c r="P535" s="35"/>
      <c r="Q535" s="40"/>
      <c r="R535" s="37" t="str">
        <f t="shared" si="25"/>
        <v/>
      </c>
      <c r="S535" s="4"/>
      <c r="T535" s="41"/>
      <c r="U535" s="41"/>
      <c r="V535" s="4"/>
      <c r="W535" s="4" t="s">
        <v>166</v>
      </c>
      <c r="X535" s="4" t="s">
        <v>166</v>
      </c>
      <c r="Y535" s="4" t="s">
        <v>166</v>
      </c>
      <c r="Z535" s="4" t="s">
        <v>166</v>
      </c>
      <c r="AA535" s="39" t="s">
        <v>52</v>
      </c>
      <c r="AB535" s="39" t="s">
        <v>397</v>
      </c>
      <c r="AC535" s="39" t="s">
        <v>52</v>
      </c>
      <c r="AD535" s="39" t="s">
        <v>397</v>
      </c>
      <c r="AE535" s="39" t="s">
        <v>52</v>
      </c>
      <c r="AF535" s="39" t="s">
        <v>397</v>
      </c>
      <c r="AG535" s="4"/>
    </row>
    <row r="536" spans="1:33">
      <c r="A536" s="19" t="s">
        <v>782</v>
      </c>
      <c r="B536" s="19" t="s">
        <v>824</v>
      </c>
      <c r="C536" s="19" t="s">
        <v>811</v>
      </c>
      <c r="D536" s="19" t="s">
        <v>54</v>
      </c>
      <c r="E536" s="41"/>
      <c r="F536" s="19" t="s">
        <v>792</v>
      </c>
      <c r="G536" s="19" t="s">
        <v>57</v>
      </c>
      <c r="H536" s="19">
        <v>44819</v>
      </c>
      <c r="I536" s="19">
        <v>45056</v>
      </c>
      <c r="J536" s="34">
        <f t="shared" si="26"/>
        <v>238</v>
      </c>
      <c r="O536" s="4" t="s">
        <v>172</v>
      </c>
      <c r="P536" s="35"/>
      <c r="Q536" s="40"/>
      <c r="R536" s="37" t="str">
        <f t="shared" si="25"/>
        <v/>
      </c>
      <c r="S536" s="4"/>
      <c r="T536" s="41"/>
      <c r="U536" s="41"/>
      <c r="V536" s="4"/>
      <c r="W536" s="4" t="s">
        <v>166</v>
      </c>
      <c r="X536" s="4" t="s">
        <v>166</v>
      </c>
      <c r="Y536" s="4" t="s">
        <v>166</v>
      </c>
      <c r="Z536" s="4" t="s">
        <v>166</v>
      </c>
      <c r="AA536" s="39" t="s">
        <v>52</v>
      </c>
      <c r="AB536" s="39" t="s">
        <v>397</v>
      </c>
      <c r="AC536" s="39" t="s">
        <v>52</v>
      </c>
      <c r="AD536" s="39" t="s">
        <v>397</v>
      </c>
      <c r="AE536" s="39" t="s">
        <v>52</v>
      </c>
      <c r="AF536" s="39" t="s">
        <v>397</v>
      </c>
      <c r="AG536" s="4"/>
    </row>
    <row r="537" spans="1:33">
      <c r="A537" s="19" t="s">
        <v>782</v>
      </c>
      <c r="B537" s="19" t="s">
        <v>825</v>
      </c>
      <c r="C537" s="19" t="s">
        <v>569</v>
      </c>
      <c r="D537" s="19" t="s">
        <v>54</v>
      </c>
      <c r="E537" s="41"/>
      <c r="F537" s="19" t="s">
        <v>792</v>
      </c>
      <c r="G537" s="19">
        <v>45477</v>
      </c>
      <c r="H537" s="19">
        <v>44722</v>
      </c>
      <c r="I537" s="19">
        <v>44980</v>
      </c>
      <c r="J537" s="34">
        <f t="shared" si="26"/>
        <v>259</v>
      </c>
      <c r="O537" s="4" t="s">
        <v>166</v>
      </c>
      <c r="P537" s="4" t="s">
        <v>166</v>
      </c>
      <c r="Q537" s="4" t="s">
        <v>166</v>
      </c>
      <c r="R537" s="4" t="s">
        <v>166</v>
      </c>
      <c r="S537" s="4" t="s">
        <v>166</v>
      </c>
      <c r="T537" s="4" t="s">
        <v>166</v>
      </c>
      <c r="U537" s="4" t="s">
        <v>166</v>
      </c>
      <c r="V537" s="4" t="s">
        <v>166</v>
      </c>
      <c r="W537" s="4" t="s">
        <v>166</v>
      </c>
      <c r="X537" s="4" t="s">
        <v>166</v>
      </c>
      <c r="Y537" s="4" t="s">
        <v>166</v>
      </c>
      <c r="Z537" s="4" t="s">
        <v>166</v>
      </c>
      <c r="AA537" s="39" t="s">
        <v>52</v>
      </c>
      <c r="AB537" s="39" t="s">
        <v>397</v>
      </c>
      <c r="AC537" s="39" t="s">
        <v>52</v>
      </c>
      <c r="AD537" s="39" t="s">
        <v>397</v>
      </c>
      <c r="AE537" s="39" t="s">
        <v>52</v>
      </c>
      <c r="AF537" s="39" t="s">
        <v>397</v>
      </c>
      <c r="AG537" s="4"/>
    </row>
    <row r="538" spans="1:33">
      <c r="A538" s="19" t="s">
        <v>782</v>
      </c>
      <c r="B538" s="19" t="s">
        <v>826</v>
      </c>
      <c r="C538" s="19" t="s">
        <v>789</v>
      </c>
      <c r="D538" s="19" t="s">
        <v>54</v>
      </c>
      <c r="E538" s="41"/>
      <c r="F538" s="19" t="s">
        <v>799</v>
      </c>
      <c r="G538" s="19">
        <v>45477</v>
      </c>
      <c r="H538" s="19">
        <v>44802</v>
      </c>
      <c r="I538" s="19">
        <v>44974</v>
      </c>
      <c r="J538" s="34">
        <f t="shared" si="26"/>
        <v>173</v>
      </c>
      <c r="O538" s="4" t="s">
        <v>172</v>
      </c>
      <c r="P538" s="35"/>
      <c r="Q538" s="40"/>
      <c r="R538" s="37" t="str">
        <f t="shared" ref="R538:R540" si="27">IF(AND(P538&lt;&gt;"",Q538&lt;&gt;""),P538/(Q538/100)^2,"")</f>
        <v/>
      </c>
      <c r="S538" s="4"/>
      <c r="T538" s="41"/>
      <c r="U538" s="41"/>
      <c r="V538" s="4"/>
      <c r="W538" s="4" t="s">
        <v>166</v>
      </c>
      <c r="X538" s="4" t="s">
        <v>166</v>
      </c>
      <c r="Y538" s="4" t="s">
        <v>166</v>
      </c>
      <c r="Z538" s="4" t="s">
        <v>166</v>
      </c>
      <c r="AA538" s="39" t="s">
        <v>52</v>
      </c>
      <c r="AB538" s="39" t="s">
        <v>397</v>
      </c>
      <c r="AC538" s="39" t="s">
        <v>52</v>
      </c>
      <c r="AD538" s="39" t="s">
        <v>397</v>
      </c>
      <c r="AE538" s="39" t="s">
        <v>52</v>
      </c>
      <c r="AF538" s="39" t="s">
        <v>397</v>
      </c>
      <c r="AG538" s="4"/>
    </row>
    <row r="539" spans="1:33">
      <c r="A539" s="19" t="s">
        <v>782</v>
      </c>
      <c r="B539" s="19" t="s">
        <v>827</v>
      </c>
      <c r="C539" s="19" t="s">
        <v>610</v>
      </c>
      <c r="D539" s="19" t="s">
        <v>48</v>
      </c>
      <c r="E539" s="41"/>
      <c r="F539" s="19" t="s">
        <v>799</v>
      </c>
      <c r="G539" s="19">
        <v>44477</v>
      </c>
      <c r="H539" s="19">
        <v>44796</v>
      </c>
      <c r="I539" s="19" t="s">
        <v>619</v>
      </c>
      <c r="J539" s="34"/>
      <c r="O539" s="4" t="s">
        <v>166</v>
      </c>
      <c r="P539" s="35"/>
      <c r="Q539" s="40"/>
      <c r="R539" s="37" t="str">
        <f t="shared" si="27"/>
        <v/>
      </c>
      <c r="S539" s="4"/>
      <c r="T539" s="41"/>
      <c r="U539" s="41"/>
      <c r="V539" s="4"/>
      <c r="W539" s="4" t="s">
        <v>162</v>
      </c>
      <c r="X539" s="4" t="s">
        <v>162</v>
      </c>
      <c r="Y539" s="4"/>
      <c r="Z539" s="4"/>
      <c r="AA539" s="39"/>
      <c r="AB539" s="39"/>
      <c r="AC539" s="39"/>
      <c r="AD539" s="39"/>
      <c r="AE539" s="39"/>
      <c r="AF539" s="39"/>
      <c r="AG539" s="4" t="s">
        <v>123</v>
      </c>
    </row>
    <row r="540" spans="1:33">
      <c r="A540" s="19" t="s">
        <v>782</v>
      </c>
      <c r="B540" s="19" t="s">
        <v>828</v>
      </c>
      <c r="C540" s="19" t="s">
        <v>829</v>
      </c>
      <c r="D540" s="19" t="s">
        <v>54</v>
      </c>
      <c r="E540" s="41"/>
      <c r="F540" s="19" t="s">
        <v>790</v>
      </c>
      <c r="G540" s="19" t="s">
        <v>57</v>
      </c>
      <c r="H540" s="19">
        <v>44699</v>
      </c>
      <c r="I540" s="19">
        <v>44929</v>
      </c>
      <c r="J540" s="34">
        <f t="shared" si="26"/>
        <v>231</v>
      </c>
      <c r="O540" s="4" t="s">
        <v>172</v>
      </c>
      <c r="P540" s="35"/>
      <c r="Q540" s="40"/>
      <c r="R540" s="37" t="str">
        <f t="shared" si="27"/>
        <v/>
      </c>
      <c r="S540" s="4"/>
      <c r="T540" s="41"/>
      <c r="U540" s="41"/>
      <c r="V540" s="4"/>
      <c r="W540" s="4" t="s">
        <v>166</v>
      </c>
      <c r="X540" s="4" t="s">
        <v>166</v>
      </c>
      <c r="Y540" s="4" t="s">
        <v>166</v>
      </c>
      <c r="Z540" s="4" t="s">
        <v>166</v>
      </c>
      <c r="AA540" s="39" t="s">
        <v>52</v>
      </c>
      <c r="AB540" s="39" t="s">
        <v>397</v>
      </c>
      <c r="AC540" s="39" t="s">
        <v>52</v>
      </c>
      <c r="AD540" s="39" t="s">
        <v>397</v>
      </c>
      <c r="AE540" s="39" t="s">
        <v>52</v>
      </c>
      <c r="AF540" s="39" t="s">
        <v>397</v>
      </c>
      <c r="AG540" s="4"/>
    </row>
    <row r="541" spans="1:33">
      <c r="A541" s="19" t="s">
        <v>782</v>
      </c>
      <c r="B541" s="19" t="s">
        <v>830</v>
      </c>
      <c r="C541" s="19" t="s">
        <v>831</v>
      </c>
      <c r="D541" s="19" t="s">
        <v>48</v>
      </c>
      <c r="E541" s="41"/>
      <c r="F541" s="19" t="s">
        <v>792</v>
      </c>
      <c r="G541" s="19">
        <v>44881</v>
      </c>
      <c r="H541" s="19">
        <v>44695</v>
      </c>
      <c r="I541" s="19">
        <v>44929</v>
      </c>
      <c r="J541" s="34">
        <f t="shared" si="26"/>
        <v>235</v>
      </c>
      <c r="O541" s="4" t="s">
        <v>166</v>
      </c>
      <c r="P541" s="4" t="s">
        <v>166</v>
      </c>
      <c r="Q541" s="4" t="s">
        <v>166</v>
      </c>
      <c r="R541" s="4" t="s">
        <v>166</v>
      </c>
      <c r="S541" s="4" t="s">
        <v>166</v>
      </c>
      <c r="T541" s="4" t="s">
        <v>166</v>
      </c>
      <c r="U541" s="4" t="s">
        <v>166</v>
      </c>
      <c r="V541" s="4" t="s">
        <v>166</v>
      </c>
      <c r="W541" s="4" t="s">
        <v>166</v>
      </c>
      <c r="X541" s="4" t="s">
        <v>166</v>
      </c>
      <c r="Y541" s="4" t="s">
        <v>166</v>
      </c>
      <c r="Z541" s="4" t="s">
        <v>166</v>
      </c>
      <c r="AA541" s="39" t="s">
        <v>52</v>
      </c>
      <c r="AB541" s="39" t="s">
        <v>397</v>
      </c>
      <c r="AC541" s="39" t="s">
        <v>52</v>
      </c>
      <c r="AD541" s="39" t="s">
        <v>397</v>
      </c>
      <c r="AE541" s="39" t="s">
        <v>52</v>
      </c>
      <c r="AF541" s="39" t="s">
        <v>397</v>
      </c>
      <c r="AG541" s="4"/>
    </row>
    <row r="542" spans="1:33">
      <c r="A542" s="19" t="s">
        <v>782</v>
      </c>
      <c r="B542" s="19" t="s">
        <v>832</v>
      </c>
      <c r="C542" s="19" t="s">
        <v>649</v>
      </c>
      <c r="D542" s="19" t="s">
        <v>48</v>
      </c>
      <c r="E542" s="41"/>
      <c r="F542" s="19" t="s">
        <v>790</v>
      </c>
      <c r="G542" s="19" t="s">
        <v>57</v>
      </c>
      <c r="H542" s="19">
        <v>44694</v>
      </c>
      <c r="I542" s="19">
        <v>44929</v>
      </c>
      <c r="J542" s="34">
        <f t="shared" si="26"/>
        <v>236</v>
      </c>
      <c r="O542" s="4" t="s">
        <v>172</v>
      </c>
      <c r="P542" s="35"/>
      <c r="Q542" s="40"/>
      <c r="R542" s="37" t="str">
        <f t="shared" ref="R542:R563" si="28">IF(AND(P542&lt;&gt;"",Q542&lt;&gt;""),P542/(Q542/100)^2,"")</f>
        <v/>
      </c>
      <c r="S542" s="4"/>
      <c r="T542" s="41"/>
      <c r="U542" s="41"/>
      <c r="V542" s="4"/>
      <c r="W542" s="4" t="s">
        <v>166</v>
      </c>
      <c r="X542" s="4" t="s">
        <v>166</v>
      </c>
      <c r="Y542" s="4" t="s">
        <v>166</v>
      </c>
      <c r="Z542" s="4" t="s">
        <v>166</v>
      </c>
      <c r="AA542" s="39" t="s">
        <v>52</v>
      </c>
      <c r="AB542" s="39" t="s">
        <v>397</v>
      </c>
      <c r="AC542" s="39" t="s">
        <v>52</v>
      </c>
      <c r="AD542" s="39" t="s">
        <v>397</v>
      </c>
      <c r="AE542" s="39" t="s">
        <v>52</v>
      </c>
      <c r="AF542" s="39" t="s">
        <v>397</v>
      </c>
      <c r="AG542" s="4"/>
    </row>
    <row r="543" spans="1:33">
      <c r="A543" s="19" t="s">
        <v>782</v>
      </c>
      <c r="B543" s="19" t="s">
        <v>833</v>
      </c>
      <c r="C543" s="19" t="s">
        <v>584</v>
      </c>
      <c r="D543" s="19" t="s">
        <v>48</v>
      </c>
      <c r="E543" s="41"/>
      <c r="F543" s="19" t="s">
        <v>792</v>
      </c>
      <c r="G543" s="19">
        <v>44876</v>
      </c>
      <c r="H543" s="19">
        <v>44694</v>
      </c>
      <c r="I543" s="19">
        <v>44980</v>
      </c>
      <c r="J543" s="34">
        <f t="shared" si="26"/>
        <v>287</v>
      </c>
      <c r="O543" s="4" t="s">
        <v>172</v>
      </c>
      <c r="P543" s="35"/>
      <c r="Q543" s="40"/>
      <c r="R543" s="37" t="str">
        <f t="shared" si="28"/>
        <v/>
      </c>
      <c r="S543" s="4"/>
      <c r="T543" s="41"/>
      <c r="U543" s="41"/>
      <c r="V543" s="4"/>
      <c r="W543" s="4" t="s">
        <v>166</v>
      </c>
      <c r="X543" s="4" t="s">
        <v>166</v>
      </c>
      <c r="Y543" s="4" t="s">
        <v>166</v>
      </c>
      <c r="Z543" s="4" t="s">
        <v>166</v>
      </c>
      <c r="AA543" s="39" t="s">
        <v>52</v>
      </c>
      <c r="AB543" s="39" t="s">
        <v>397</v>
      </c>
      <c r="AC543" s="39" t="s">
        <v>52</v>
      </c>
      <c r="AD543" s="39" t="s">
        <v>397</v>
      </c>
      <c r="AE543" s="39" t="s">
        <v>52</v>
      </c>
      <c r="AF543" s="39" t="s">
        <v>397</v>
      </c>
      <c r="AG543" s="4"/>
    </row>
    <row r="544" spans="1:33">
      <c r="A544" s="19" t="s">
        <v>782</v>
      </c>
      <c r="B544" s="4" t="s">
        <v>834</v>
      </c>
      <c r="C544" s="44">
        <v>26</v>
      </c>
      <c r="D544" s="19" t="s">
        <v>48</v>
      </c>
      <c r="E544" s="41"/>
      <c r="F544" s="19" t="s">
        <v>785</v>
      </c>
      <c r="G544" s="19"/>
      <c r="H544" s="19">
        <v>46036</v>
      </c>
      <c r="I544" s="19"/>
      <c r="J544" s="34" t="str">
        <f t="shared" ref="J544:J563" si="29">IF(AND(H544&lt;&gt;"",I544&lt;&gt;""),I544-H544+1,"")</f>
        <v/>
      </c>
      <c r="O544" s="4" t="s">
        <v>172</v>
      </c>
      <c r="P544" s="35"/>
      <c r="Q544" s="40"/>
      <c r="R544" s="37" t="str">
        <f t="shared" si="28"/>
        <v/>
      </c>
      <c r="S544" s="4"/>
      <c r="T544" s="41"/>
      <c r="U544" s="41"/>
      <c r="V544" s="4"/>
      <c r="W544" s="4"/>
      <c r="X544" s="4"/>
      <c r="Y544" s="4"/>
      <c r="Z544" s="4"/>
      <c r="AA544" s="39"/>
      <c r="AB544" s="39"/>
      <c r="AC544" s="39"/>
      <c r="AD544" s="39"/>
      <c r="AE544" s="39"/>
      <c r="AF544" s="39"/>
      <c r="AG544" s="4" t="s">
        <v>835</v>
      </c>
    </row>
    <row r="545" spans="1:33">
      <c r="A545" s="19" t="s">
        <v>782</v>
      </c>
      <c r="B545" s="4" t="s">
        <v>836</v>
      </c>
      <c r="C545" s="44">
        <v>30</v>
      </c>
      <c r="D545" s="4" t="s">
        <v>48</v>
      </c>
      <c r="E545" s="41"/>
      <c r="F545" s="19" t="s">
        <v>785</v>
      </c>
      <c r="G545" s="19"/>
      <c r="H545" s="19">
        <v>45873</v>
      </c>
      <c r="I545" s="19"/>
      <c r="J545" s="34" t="str">
        <f t="shared" si="29"/>
        <v/>
      </c>
      <c r="O545" s="4" t="s">
        <v>172</v>
      </c>
      <c r="P545" s="35"/>
      <c r="Q545" s="40"/>
      <c r="R545" s="37" t="str">
        <f t="shared" si="28"/>
        <v/>
      </c>
      <c r="S545" s="4"/>
      <c r="T545" s="41"/>
      <c r="U545" s="41"/>
      <c r="V545" s="4"/>
      <c r="W545" s="4" t="s">
        <v>166</v>
      </c>
      <c r="X545" s="4"/>
      <c r="Y545" s="4"/>
      <c r="Z545" s="4"/>
      <c r="AA545" s="39"/>
      <c r="AB545" s="39"/>
      <c r="AC545" s="39"/>
      <c r="AD545" s="39"/>
      <c r="AE545" s="39"/>
      <c r="AF545" s="39"/>
      <c r="AG545" s="4" t="s">
        <v>835</v>
      </c>
    </row>
    <row r="546" spans="1:33">
      <c r="A546" s="19" t="s">
        <v>837</v>
      </c>
      <c r="B546" s="45" t="s">
        <v>838</v>
      </c>
      <c r="C546" s="46">
        <v>38</v>
      </c>
      <c r="D546" s="47" t="s">
        <v>48</v>
      </c>
      <c r="E546" s="48"/>
      <c r="F546" s="47" t="s">
        <v>82</v>
      </c>
      <c r="G546" s="49"/>
      <c r="H546" s="49">
        <v>44996</v>
      </c>
      <c r="I546" s="49">
        <v>45271</v>
      </c>
      <c r="J546" s="34">
        <f t="shared" si="29"/>
        <v>276</v>
      </c>
      <c r="O546" s="50" t="s">
        <v>172</v>
      </c>
      <c r="P546" s="51"/>
      <c r="Q546" s="52"/>
      <c r="R546" s="53" t="str">
        <f t="shared" si="28"/>
        <v/>
      </c>
      <c r="S546" s="50"/>
      <c r="T546" s="54"/>
      <c r="U546" s="54"/>
      <c r="V546" s="50"/>
      <c r="W546" s="50" t="s">
        <v>166</v>
      </c>
      <c r="X546" s="50" t="s">
        <v>166</v>
      </c>
      <c r="Y546" s="50" t="s">
        <v>397</v>
      </c>
      <c r="Z546" s="50" t="s">
        <v>397</v>
      </c>
      <c r="AA546" s="55" t="s">
        <v>52</v>
      </c>
      <c r="AB546" s="55"/>
      <c r="AC546" s="55" t="s">
        <v>52</v>
      </c>
      <c r="AD546" s="55"/>
      <c r="AE546" s="55" t="s">
        <v>52</v>
      </c>
      <c r="AF546" s="55"/>
      <c r="AG546" s="4"/>
    </row>
    <row r="547" spans="1:33">
      <c r="A547" s="19" t="s">
        <v>837</v>
      </c>
      <c r="B547" s="45" t="s">
        <v>839</v>
      </c>
      <c r="C547" s="46">
        <v>43</v>
      </c>
      <c r="D547" s="47" t="s">
        <v>48</v>
      </c>
      <c r="E547" s="48"/>
      <c r="F547" s="47" t="s">
        <v>49</v>
      </c>
      <c r="G547" s="49">
        <v>45272</v>
      </c>
      <c r="H547" s="49">
        <v>45100</v>
      </c>
      <c r="I547" s="49">
        <v>45283</v>
      </c>
      <c r="J547" s="34">
        <f t="shared" si="29"/>
        <v>184</v>
      </c>
      <c r="O547" s="50" t="s">
        <v>172</v>
      </c>
      <c r="P547" s="51"/>
      <c r="Q547" s="52"/>
      <c r="R547" s="53" t="str">
        <f t="shared" si="28"/>
        <v/>
      </c>
      <c r="S547" s="50"/>
      <c r="T547" s="54"/>
      <c r="U547" s="54"/>
      <c r="V547" s="50"/>
      <c r="W547" s="50" t="s">
        <v>172</v>
      </c>
      <c r="X547" s="50" t="s">
        <v>166</v>
      </c>
      <c r="Y547" s="50" t="s">
        <v>397</v>
      </c>
      <c r="Z547" s="50" t="s">
        <v>397</v>
      </c>
      <c r="AA547" s="55" t="s">
        <v>52</v>
      </c>
      <c r="AB547" s="55"/>
      <c r="AC547" s="55" t="s">
        <v>52</v>
      </c>
      <c r="AD547" s="55"/>
      <c r="AE547" s="55" t="s">
        <v>52</v>
      </c>
      <c r="AF547" s="55"/>
      <c r="AG547" s="4"/>
    </row>
    <row r="548" spans="1:33">
      <c r="A548" s="19" t="s">
        <v>837</v>
      </c>
      <c r="B548" s="45" t="s">
        <v>840</v>
      </c>
      <c r="C548" s="46">
        <v>64</v>
      </c>
      <c r="D548" s="47" t="s">
        <v>48</v>
      </c>
      <c r="E548" s="48"/>
      <c r="F548" s="47" t="s">
        <v>64</v>
      </c>
      <c r="G548" s="49"/>
      <c r="H548" s="49">
        <v>45002</v>
      </c>
      <c r="I548" s="49">
        <v>45277</v>
      </c>
      <c r="J548" s="34">
        <f t="shared" si="29"/>
        <v>276</v>
      </c>
      <c r="O548" s="50" t="s">
        <v>172</v>
      </c>
      <c r="P548" s="51"/>
      <c r="Q548" s="52"/>
      <c r="R548" s="53" t="str">
        <f t="shared" si="28"/>
        <v/>
      </c>
      <c r="S548" s="50"/>
      <c r="T548" s="54"/>
      <c r="U548" s="54"/>
      <c r="V548" s="50"/>
      <c r="W548" s="50" t="s">
        <v>166</v>
      </c>
      <c r="X548" s="50" t="s">
        <v>166</v>
      </c>
      <c r="Y548" s="50" t="s">
        <v>397</v>
      </c>
      <c r="Z548" s="50" t="s">
        <v>397</v>
      </c>
      <c r="AA548" s="55" t="s">
        <v>841</v>
      </c>
      <c r="AB548" s="55"/>
      <c r="AC548" s="55" t="s">
        <v>841</v>
      </c>
      <c r="AD548" s="55"/>
      <c r="AE548" s="55" t="s">
        <v>52</v>
      </c>
      <c r="AF548" s="55"/>
      <c r="AG548" s="4"/>
    </row>
    <row r="549" spans="1:33">
      <c r="A549" s="19" t="s">
        <v>837</v>
      </c>
      <c r="B549" s="45" t="s">
        <v>842</v>
      </c>
      <c r="C549" s="46">
        <v>53</v>
      </c>
      <c r="D549" s="47" t="s">
        <v>48</v>
      </c>
      <c r="E549" s="48"/>
      <c r="F549" s="47" t="s">
        <v>82</v>
      </c>
      <c r="G549" s="49"/>
      <c r="H549" s="49">
        <v>44888</v>
      </c>
      <c r="I549" s="49">
        <v>45161</v>
      </c>
      <c r="J549" s="34">
        <f t="shared" si="29"/>
        <v>274</v>
      </c>
      <c r="O549" s="50" t="s">
        <v>172</v>
      </c>
      <c r="P549" s="51"/>
      <c r="Q549" s="52"/>
      <c r="R549" s="53" t="str">
        <f t="shared" si="28"/>
        <v/>
      </c>
      <c r="S549" s="50"/>
      <c r="T549" s="54"/>
      <c r="U549" s="54"/>
      <c r="V549" s="50"/>
      <c r="W549" s="50" t="s">
        <v>397</v>
      </c>
      <c r="X549" s="50" t="s">
        <v>166</v>
      </c>
      <c r="Y549" s="50" t="s">
        <v>397</v>
      </c>
      <c r="Z549" s="50" t="s">
        <v>397</v>
      </c>
      <c r="AA549" s="55" t="s">
        <v>52</v>
      </c>
      <c r="AB549" s="55"/>
      <c r="AC549" s="55" t="s">
        <v>52</v>
      </c>
      <c r="AD549" s="55"/>
      <c r="AE549" s="55" t="s">
        <v>52</v>
      </c>
      <c r="AF549" s="55"/>
      <c r="AG549" s="4"/>
    </row>
    <row r="550" spans="1:33">
      <c r="A550" s="19" t="s">
        <v>837</v>
      </c>
      <c r="B550" s="45" t="s">
        <v>843</v>
      </c>
      <c r="C550" s="46">
        <v>47</v>
      </c>
      <c r="D550" s="47" t="s">
        <v>48</v>
      </c>
      <c r="E550" s="48"/>
      <c r="F550" s="47" t="s">
        <v>49</v>
      </c>
      <c r="G550" s="49">
        <v>45210</v>
      </c>
      <c r="H550" s="49">
        <v>45039</v>
      </c>
      <c r="I550" s="49">
        <v>45222</v>
      </c>
      <c r="J550" s="34">
        <f t="shared" si="29"/>
        <v>184</v>
      </c>
      <c r="O550" s="50" t="s">
        <v>166</v>
      </c>
      <c r="P550" s="51"/>
      <c r="Q550" s="52"/>
      <c r="R550" s="53" t="str">
        <f t="shared" si="28"/>
        <v/>
      </c>
      <c r="S550" s="50"/>
      <c r="T550" s="54"/>
      <c r="U550" s="54"/>
      <c r="V550" s="50"/>
      <c r="W550" s="50" t="s">
        <v>166</v>
      </c>
      <c r="X550" s="50" t="s">
        <v>166</v>
      </c>
      <c r="Y550" s="50" t="s">
        <v>397</v>
      </c>
      <c r="Z550" s="50" t="s">
        <v>397</v>
      </c>
      <c r="AA550" s="55" t="s">
        <v>52</v>
      </c>
      <c r="AB550" s="55"/>
      <c r="AC550" s="55" t="s">
        <v>52</v>
      </c>
      <c r="AD550" s="55"/>
      <c r="AE550" s="55" t="s">
        <v>52</v>
      </c>
      <c r="AF550" s="55"/>
      <c r="AG550" s="4"/>
    </row>
    <row r="551" spans="1:33">
      <c r="A551" s="19" t="s">
        <v>837</v>
      </c>
      <c r="B551" s="47" t="s">
        <v>844</v>
      </c>
      <c r="C551" s="46">
        <v>13</v>
      </c>
      <c r="D551" s="47" t="s">
        <v>48</v>
      </c>
      <c r="E551" s="48"/>
      <c r="F551" s="47" t="s">
        <v>49</v>
      </c>
      <c r="G551" s="49">
        <v>45210</v>
      </c>
      <c r="H551" s="49">
        <v>45034</v>
      </c>
      <c r="I551" s="49">
        <v>45217</v>
      </c>
      <c r="J551" s="34">
        <f t="shared" si="29"/>
        <v>184</v>
      </c>
      <c r="O551" s="50" t="s">
        <v>166</v>
      </c>
      <c r="P551" s="51"/>
      <c r="Q551" s="52"/>
      <c r="R551" s="53" t="str">
        <f t="shared" si="28"/>
        <v/>
      </c>
      <c r="S551" s="50"/>
      <c r="T551" s="54"/>
      <c r="U551" s="54"/>
      <c r="V551" s="50"/>
      <c r="W551" s="50" t="s">
        <v>166</v>
      </c>
      <c r="X551" s="50" t="s">
        <v>166</v>
      </c>
      <c r="Y551" s="50" t="s">
        <v>397</v>
      </c>
      <c r="Z551" s="50" t="s">
        <v>397</v>
      </c>
      <c r="AA551" s="55" t="s">
        <v>52</v>
      </c>
      <c r="AB551" s="55"/>
      <c r="AC551" s="55" t="s">
        <v>52</v>
      </c>
      <c r="AD551" s="55"/>
      <c r="AE551" s="55" t="s">
        <v>52</v>
      </c>
      <c r="AF551" s="55"/>
      <c r="AG551" s="4"/>
    </row>
    <row r="552" spans="1:33">
      <c r="A552" s="19" t="s">
        <v>837</v>
      </c>
      <c r="B552" s="47" t="s">
        <v>326</v>
      </c>
      <c r="C552" s="46">
        <v>55</v>
      </c>
      <c r="D552" s="47" t="s">
        <v>48</v>
      </c>
      <c r="E552" s="48"/>
      <c r="F552" s="47" t="s">
        <v>49</v>
      </c>
      <c r="G552" s="49"/>
      <c r="H552" s="49">
        <v>44943</v>
      </c>
      <c r="I552" s="49">
        <v>45124</v>
      </c>
      <c r="J552" s="34">
        <f t="shared" si="29"/>
        <v>182</v>
      </c>
      <c r="O552" s="50" t="s">
        <v>172</v>
      </c>
      <c r="P552" s="51"/>
      <c r="Q552" s="52"/>
      <c r="R552" s="53" t="str">
        <f t="shared" si="28"/>
        <v/>
      </c>
      <c r="S552" s="50"/>
      <c r="T552" s="54"/>
      <c r="U552" s="54"/>
      <c r="V552" s="50"/>
      <c r="W552" s="50" t="s">
        <v>172</v>
      </c>
      <c r="X552" s="50" t="s">
        <v>166</v>
      </c>
      <c r="Y552" s="50" t="s">
        <v>397</v>
      </c>
      <c r="Z552" s="50" t="s">
        <v>397</v>
      </c>
      <c r="AA552" s="55" t="s">
        <v>52</v>
      </c>
      <c r="AB552" s="55"/>
      <c r="AC552" s="55" t="s">
        <v>52</v>
      </c>
      <c r="AD552" s="55"/>
      <c r="AE552" s="55" t="s">
        <v>52</v>
      </c>
      <c r="AF552" s="55"/>
      <c r="AG552" s="4"/>
    </row>
    <row r="553" spans="1:33">
      <c r="A553" s="19" t="s">
        <v>837</v>
      </c>
      <c r="B553" s="47" t="s">
        <v>845</v>
      </c>
      <c r="C553" s="46">
        <v>44</v>
      </c>
      <c r="D553" s="47" t="s">
        <v>48</v>
      </c>
      <c r="E553" s="48"/>
      <c r="F553" s="47" t="s">
        <v>49</v>
      </c>
      <c r="G553" s="49">
        <v>45160</v>
      </c>
      <c r="H553" s="49">
        <v>44984</v>
      </c>
      <c r="I553" s="49">
        <v>45257</v>
      </c>
      <c r="J553" s="34">
        <f t="shared" si="29"/>
        <v>274</v>
      </c>
      <c r="O553" s="50" t="s">
        <v>172</v>
      </c>
      <c r="P553" s="51"/>
      <c r="Q553" s="52"/>
      <c r="R553" s="53" t="str">
        <f t="shared" si="28"/>
        <v/>
      </c>
      <c r="S553" s="50"/>
      <c r="T553" s="54"/>
      <c r="U553" s="54"/>
      <c r="V553" s="50"/>
      <c r="W553" s="50" t="s">
        <v>166</v>
      </c>
      <c r="X553" s="50" t="s">
        <v>166</v>
      </c>
      <c r="Y553" s="50" t="s">
        <v>397</v>
      </c>
      <c r="Z553" s="50" t="s">
        <v>397</v>
      </c>
      <c r="AA553" s="55" t="s">
        <v>52</v>
      </c>
      <c r="AB553" s="55"/>
      <c r="AC553" s="55" t="s">
        <v>52</v>
      </c>
      <c r="AD553" s="55"/>
      <c r="AE553" s="55" t="s">
        <v>52</v>
      </c>
      <c r="AF553" s="55"/>
      <c r="AG553" s="4"/>
    </row>
    <row r="554" spans="1:33">
      <c r="A554" s="19" t="s">
        <v>837</v>
      </c>
      <c r="B554" s="47" t="s">
        <v>846</v>
      </c>
      <c r="C554" s="46">
        <v>26</v>
      </c>
      <c r="D554" s="47" t="s">
        <v>54</v>
      </c>
      <c r="E554" s="48"/>
      <c r="F554" s="47" t="s">
        <v>64</v>
      </c>
      <c r="G554" s="49">
        <v>45106</v>
      </c>
      <c r="H554" s="49">
        <v>44825</v>
      </c>
      <c r="I554" s="49">
        <v>45006</v>
      </c>
      <c r="J554" s="34">
        <f t="shared" si="29"/>
        <v>182</v>
      </c>
      <c r="O554" s="50" t="s">
        <v>172</v>
      </c>
      <c r="P554" s="51"/>
      <c r="Q554" s="52"/>
      <c r="R554" s="53" t="str">
        <f t="shared" si="28"/>
        <v/>
      </c>
      <c r="S554" s="50"/>
      <c r="T554" s="54"/>
      <c r="U554" s="54"/>
      <c r="V554" s="50"/>
      <c r="W554" s="50" t="s">
        <v>172</v>
      </c>
      <c r="X554" s="50" t="s">
        <v>166</v>
      </c>
      <c r="Y554" s="50" t="s">
        <v>397</v>
      </c>
      <c r="Z554" s="50" t="s">
        <v>397</v>
      </c>
      <c r="AA554" s="55" t="s">
        <v>52</v>
      </c>
      <c r="AB554" s="55"/>
      <c r="AC554" s="55" t="s">
        <v>52</v>
      </c>
      <c r="AD554" s="55"/>
      <c r="AE554" s="55" t="s">
        <v>52</v>
      </c>
      <c r="AF554" s="55"/>
      <c r="AG554" s="4"/>
    </row>
    <row r="555" spans="1:33">
      <c r="A555" s="19" t="s">
        <v>837</v>
      </c>
      <c r="B555" s="47" t="s">
        <v>847</v>
      </c>
      <c r="C555" s="46">
        <v>57</v>
      </c>
      <c r="D555" s="47" t="s">
        <v>48</v>
      </c>
      <c r="E555" s="48"/>
      <c r="F555" s="47" t="s">
        <v>49</v>
      </c>
      <c r="G555" s="49"/>
      <c r="H555" s="49">
        <v>44936</v>
      </c>
      <c r="I555" s="49">
        <v>45209</v>
      </c>
      <c r="J555" s="34">
        <f t="shared" si="29"/>
        <v>274</v>
      </c>
      <c r="O555" s="50" t="s">
        <v>172</v>
      </c>
      <c r="P555" s="51"/>
      <c r="Q555" s="52"/>
      <c r="R555" s="53" t="str">
        <f t="shared" si="28"/>
        <v/>
      </c>
      <c r="S555" s="50"/>
      <c r="T555" s="54"/>
      <c r="U555" s="54"/>
      <c r="V555" s="50"/>
      <c r="W555" s="50" t="s">
        <v>166</v>
      </c>
      <c r="X555" s="50" t="s">
        <v>166</v>
      </c>
      <c r="Y555" s="50" t="s">
        <v>397</v>
      </c>
      <c r="Z555" s="50" t="s">
        <v>397</v>
      </c>
      <c r="AA555" s="55" t="s">
        <v>52</v>
      </c>
      <c r="AB555" s="55"/>
      <c r="AC555" s="55" t="s">
        <v>52</v>
      </c>
      <c r="AD555" s="55"/>
      <c r="AE555" s="55" t="s">
        <v>52</v>
      </c>
      <c r="AF555" s="55"/>
      <c r="AG555" s="4"/>
    </row>
    <row r="556" spans="1:33">
      <c r="A556" s="19" t="s">
        <v>837</v>
      </c>
      <c r="B556" s="47" t="s">
        <v>848</v>
      </c>
      <c r="C556" s="46">
        <v>24</v>
      </c>
      <c r="D556" s="47" t="s">
        <v>48</v>
      </c>
      <c r="E556" s="48"/>
      <c r="F556" s="47" t="s">
        <v>49</v>
      </c>
      <c r="G556" s="49">
        <v>45022</v>
      </c>
      <c r="H556" s="49">
        <v>44837</v>
      </c>
      <c r="I556" s="49">
        <v>45019</v>
      </c>
      <c r="J556" s="34">
        <f t="shared" si="29"/>
        <v>183</v>
      </c>
      <c r="O556" s="50" t="s">
        <v>166</v>
      </c>
      <c r="P556" s="51"/>
      <c r="Q556" s="52"/>
      <c r="R556" s="53" t="str">
        <f t="shared" si="28"/>
        <v/>
      </c>
      <c r="S556" s="50"/>
      <c r="T556" s="54"/>
      <c r="U556" s="54"/>
      <c r="V556" s="50"/>
      <c r="W556" s="50" t="s">
        <v>166</v>
      </c>
      <c r="X556" s="50" t="s">
        <v>166</v>
      </c>
      <c r="Y556" s="50" t="s">
        <v>397</v>
      </c>
      <c r="Z556" s="50" t="s">
        <v>397</v>
      </c>
      <c r="AA556" s="55" t="s">
        <v>52</v>
      </c>
      <c r="AB556" s="55"/>
      <c r="AC556" s="55" t="s">
        <v>52</v>
      </c>
      <c r="AD556" s="55"/>
      <c r="AE556" s="55" t="s">
        <v>52</v>
      </c>
      <c r="AF556" s="55"/>
      <c r="AG556" s="4"/>
    </row>
    <row r="557" spans="1:33">
      <c r="A557" s="19" t="s">
        <v>837</v>
      </c>
      <c r="B557" s="47" t="s">
        <v>849</v>
      </c>
      <c r="C557" s="46">
        <v>63</v>
      </c>
      <c r="D557" s="47" t="s">
        <v>48</v>
      </c>
      <c r="E557" s="48"/>
      <c r="F557" s="47" t="s">
        <v>49</v>
      </c>
      <c r="G557" s="49">
        <v>44935</v>
      </c>
      <c r="H557" s="49">
        <v>44755</v>
      </c>
      <c r="I557" s="49">
        <v>44939</v>
      </c>
      <c r="J557" s="34">
        <f t="shared" si="29"/>
        <v>185</v>
      </c>
      <c r="O557" s="50" t="s">
        <v>172</v>
      </c>
      <c r="P557" s="51"/>
      <c r="Q557" s="52"/>
      <c r="R557" s="53" t="str">
        <f t="shared" si="28"/>
        <v/>
      </c>
      <c r="S557" s="50"/>
      <c r="T557" s="54"/>
      <c r="U557" s="54"/>
      <c r="V557" s="50"/>
      <c r="W557" s="50" t="s">
        <v>166</v>
      </c>
      <c r="X557" s="50" t="s">
        <v>166</v>
      </c>
      <c r="Y557" s="50" t="s">
        <v>397</v>
      </c>
      <c r="Z557" s="50" t="s">
        <v>397</v>
      </c>
      <c r="AA557" s="55" t="s">
        <v>52</v>
      </c>
      <c r="AB557" s="55"/>
      <c r="AC557" s="55" t="s">
        <v>52</v>
      </c>
      <c r="AD557" s="55"/>
      <c r="AE557" s="55" t="s">
        <v>52</v>
      </c>
      <c r="AF557" s="55"/>
      <c r="AG557" s="4"/>
    </row>
    <row r="558" spans="1:33">
      <c r="A558" s="19" t="s">
        <v>837</v>
      </c>
      <c r="B558" s="47" t="s">
        <v>850</v>
      </c>
      <c r="C558" s="46">
        <v>71</v>
      </c>
      <c r="D558" s="47" t="s">
        <v>48</v>
      </c>
      <c r="E558" s="48"/>
      <c r="F558" s="47" t="s">
        <v>49</v>
      </c>
      <c r="G558" s="49">
        <v>44935</v>
      </c>
      <c r="H558" s="49">
        <v>44755</v>
      </c>
      <c r="I558" s="49">
        <v>45029</v>
      </c>
      <c r="J558" s="34">
        <f t="shared" si="29"/>
        <v>275</v>
      </c>
      <c r="O558" s="50" t="s">
        <v>166</v>
      </c>
      <c r="P558" s="51"/>
      <c r="Q558" s="52"/>
      <c r="R558" s="53" t="str">
        <f t="shared" si="28"/>
        <v/>
      </c>
      <c r="S558" s="50"/>
      <c r="T558" s="54"/>
      <c r="U558" s="54"/>
      <c r="V558" s="50"/>
      <c r="W558" s="50" t="s">
        <v>166</v>
      </c>
      <c r="X558" s="50" t="s">
        <v>166</v>
      </c>
      <c r="Y558" s="50" t="s">
        <v>397</v>
      </c>
      <c r="Z558" s="50" t="s">
        <v>397</v>
      </c>
      <c r="AA558" s="55" t="s">
        <v>52</v>
      </c>
      <c r="AB558" s="55"/>
      <c r="AC558" s="55" t="s">
        <v>52</v>
      </c>
      <c r="AD558" s="55"/>
      <c r="AE558" s="55" t="s">
        <v>52</v>
      </c>
      <c r="AF558" s="55"/>
      <c r="AG558" s="4"/>
    </row>
    <row r="559" spans="1:33">
      <c r="A559" s="19" t="s">
        <v>837</v>
      </c>
      <c r="B559" s="47" t="s">
        <v>851</v>
      </c>
      <c r="C559" s="46">
        <v>23</v>
      </c>
      <c r="D559" s="47" t="s">
        <v>48</v>
      </c>
      <c r="E559" s="48"/>
      <c r="F559" s="47" t="s">
        <v>64</v>
      </c>
      <c r="G559" s="49"/>
      <c r="H559" s="49">
        <v>45049</v>
      </c>
      <c r="I559" s="49">
        <v>45233</v>
      </c>
      <c r="J559" s="34">
        <f t="shared" si="29"/>
        <v>185</v>
      </c>
      <c r="O559" s="50" t="s">
        <v>172</v>
      </c>
      <c r="P559" s="51"/>
      <c r="Q559" s="52"/>
      <c r="R559" s="53" t="str">
        <f t="shared" si="28"/>
        <v/>
      </c>
      <c r="S559" s="50"/>
      <c r="T559" s="54"/>
      <c r="U559" s="54"/>
      <c r="V559" s="50"/>
      <c r="W559" s="50" t="s">
        <v>166</v>
      </c>
      <c r="X559" s="50" t="s">
        <v>166</v>
      </c>
      <c r="Y559" s="50" t="s">
        <v>397</v>
      </c>
      <c r="Z559" s="50" t="s">
        <v>397</v>
      </c>
      <c r="AA559" s="55" t="s">
        <v>52</v>
      </c>
      <c r="AB559" s="55"/>
      <c r="AC559" s="55" t="s">
        <v>52</v>
      </c>
      <c r="AD559" s="55"/>
      <c r="AE559" s="55" t="s">
        <v>52</v>
      </c>
      <c r="AF559" s="55"/>
      <c r="AG559" s="4"/>
    </row>
    <row r="560" ht="40.5" spans="1:33">
      <c r="A560" s="19" t="s">
        <v>837</v>
      </c>
      <c r="B560" s="56" t="s">
        <v>852</v>
      </c>
      <c r="C560" s="46">
        <v>34</v>
      </c>
      <c r="D560" s="56" t="s">
        <v>48</v>
      </c>
      <c r="E560" s="48"/>
      <c r="F560" s="47" t="s">
        <v>49</v>
      </c>
      <c r="G560" s="49">
        <v>45343</v>
      </c>
      <c r="H560" s="49">
        <v>45160</v>
      </c>
      <c r="I560" s="49">
        <v>45344</v>
      </c>
      <c r="J560" s="34">
        <f t="shared" si="29"/>
        <v>185</v>
      </c>
      <c r="O560" s="57" t="s">
        <v>172</v>
      </c>
      <c r="P560" s="51"/>
      <c r="Q560" s="52"/>
      <c r="R560" s="53" t="str">
        <f t="shared" si="28"/>
        <v/>
      </c>
      <c r="S560" s="50"/>
      <c r="T560" s="54"/>
      <c r="U560" s="54"/>
      <c r="V560" s="50"/>
      <c r="W560" s="57" t="s">
        <v>172</v>
      </c>
      <c r="X560" s="57" t="s">
        <v>166</v>
      </c>
      <c r="Y560" s="57" t="s">
        <v>397</v>
      </c>
      <c r="Z560" s="57" t="s">
        <v>397</v>
      </c>
      <c r="AA560" s="58" t="s">
        <v>853</v>
      </c>
      <c r="AB560" s="58" t="s">
        <v>854</v>
      </c>
      <c r="AC560" s="58" t="s">
        <v>52</v>
      </c>
      <c r="AD560" s="55"/>
      <c r="AE560" s="58" t="s">
        <v>52</v>
      </c>
      <c r="AF560" s="55"/>
      <c r="AG560" s="4"/>
    </row>
    <row r="561" spans="1:33">
      <c r="A561" s="19" t="s">
        <v>837</v>
      </c>
      <c r="B561" s="47" t="s">
        <v>855</v>
      </c>
      <c r="C561" s="46">
        <v>17</v>
      </c>
      <c r="D561" s="45" t="s">
        <v>54</v>
      </c>
      <c r="E561" s="48"/>
      <c r="F561" s="47" t="s">
        <v>49</v>
      </c>
      <c r="G561" s="49">
        <v>44966</v>
      </c>
      <c r="H561" s="49">
        <v>44779</v>
      </c>
      <c r="I561" s="49">
        <v>44966</v>
      </c>
      <c r="J561" s="34">
        <f t="shared" si="29"/>
        <v>188</v>
      </c>
      <c r="O561" s="57" t="s">
        <v>397</v>
      </c>
      <c r="P561" s="51"/>
      <c r="Q561" s="52"/>
      <c r="R561" s="53" t="str">
        <f t="shared" si="28"/>
        <v/>
      </c>
      <c r="S561" s="50"/>
      <c r="T561" s="54"/>
      <c r="U561" s="54"/>
      <c r="V561" s="50"/>
      <c r="W561" s="59" t="s">
        <v>397</v>
      </c>
      <c r="X561" s="59" t="s">
        <v>397</v>
      </c>
      <c r="Y561" s="59" t="s">
        <v>397</v>
      </c>
      <c r="Z561" s="59" t="s">
        <v>397</v>
      </c>
      <c r="AA561" s="55" t="s">
        <v>52</v>
      </c>
      <c r="AB561" s="55"/>
      <c r="AC561" s="55" t="s">
        <v>52</v>
      </c>
      <c r="AD561" s="55"/>
      <c r="AE561" s="55" t="s">
        <v>52</v>
      </c>
      <c r="AF561" s="55"/>
      <c r="AG561" s="4"/>
    </row>
    <row r="562" spans="1:33">
      <c r="A562" s="19" t="s">
        <v>837</v>
      </c>
      <c r="B562" s="45" t="s">
        <v>856</v>
      </c>
      <c r="C562" s="46">
        <v>58</v>
      </c>
      <c r="D562" s="45" t="s">
        <v>48</v>
      </c>
      <c r="E562" s="48"/>
      <c r="F562" s="47" t="s">
        <v>64</v>
      </c>
      <c r="G562" s="49"/>
      <c r="H562" s="49">
        <v>45082</v>
      </c>
      <c r="I562" s="49">
        <v>45261</v>
      </c>
      <c r="J562" s="34">
        <f t="shared" si="29"/>
        <v>180</v>
      </c>
      <c r="O562" s="57" t="s">
        <v>172</v>
      </c>
      <c r="P562" s="51"/>
      <c r="Q562" s="52"/>
      <c r="R562" s="53" t="str">
        <f t="shared" si="28"/>
        <v/>
      </c>
      <c r="S562" s="50"/>
      <c r="T562" s="54"/>
      <c r="U562" s="54"/>
      <c r="V562" s="50"/>
      <c r="W562" s="59" t="s">
        <v>397</v>
      </c>
      <c r="X562" s="59" t="s">
        <v>397</v>
      </c>
      <c r="Y562" s="59" t="s">
        <v>397</v>
      </c>
      <c r="Z562" s="59" t="s">
        <v>397</v>
      </c>
      <c r="AA562" s="55" t="s">
        <v>52</v>
      </c>
      <c r="AB562" s="55"/>
      <c r="AC562" s="55" t="s">
        <v>52</v>
      </c>
      <c r="AD562" s="55"/>
      <c r="AE562" s="55" t="s">
        <v>52</v>
      </c>
      <c r="AF562" s="55"/>
      <c r="AG562" s="4"/>
    </row>
    <row r="563" spans="1:33">
      <c r="A563" s="19" t="s">
        <v>837</v>
      </c>
      <c r="B563" s="45" t="s">
        <v>857</v>
      </c>
      <c r="C563" s="46">
        <v>71</v>
      </c>
      <c r="D563" s="45" t="s">
        <v>48</v>
      </c>
      <c r="E563" s="48"/>
      <c r="F563" s="47" t="s">
        <v>64</v>
      </c>
      <c r="G563" s="49"/>
      <c r="H563" s="49">
        <v>45041</v>
      </c>
      <c r="I563" s="49">
        <v>45224</v>
      </c>
      <c r="J563" s="34">
        <f t="shared" si="29"/>
        <v>184</v>
      </c>
      <c r="O563" s="57" t="s">
        <v>172</v>
      </c>
      <c r="P563" s="51"/>
      <c r="Q563" s="52"/>
      <c r="R563" s="53" t="str">
        <f t="shared" si="28"/>
        <v/>
      </c>
      <c r="S563" s="50"/>
      <c r="T563" s="54"/>
      <c r="U563" s="54"/>
      <c r="V563" s="50"/>
      <c r="W563" s="59" t="s">
        <v>172</v>
      </c>
      <c r="X563" s="59" t="s">
        <v>397</v>
      </c>
      <c r="Y563" s="59" t="s">
        <v>397</v>
      </c>
      <c r="Z563" s="59" t="s">
        <v>397</v>
      </c>
      <c r="AA563" s="55" t="s">
        <v>52</v>
      </c>
      <c r="AB563" s="55"/>
      <c r="AC563" s="55" t="s">
        <v>52</v>
      </c>
      <c r="AD563" s="55"/>
      <c r="AE563" s="55" t="s">
        <v>52</v>
      </c>
      <c r="AF563" s="55"/>
      <c r="AG563" s="4"/>
    </row>
    <row r="564" spans="1:33">
      <c r="A564" s="9" t="s">
        <v>858</v>
      </c>
    </row>
    <row r="565" spans="1:33">
      <c r="A565" s="9" t="s">
        <v>858</v>
      </c>
    </row>
    <row r="566" spans="1:33">
      <c r="A566" s="9" t="s">
        <v>858</v>
      </c>
    </row>
    <row r="567" spans="1:33">
      <c r="A567" s="9" t="s">
        <v>858</v>
      </c>
    </row>
    <row r="568" spans="1:33">
      <c r="A568" s="9" t="s">
        <v>858</v>
      </c>
    </row>
    <row r="569" spans="1:33">
      <c r="A569" s="9" t="s">
        <v>858</v>
      </c>
    </row>
    <row r="570" spans="1:33">
      <c r="A570" s="9" t="s">
        <v>858</v>
      </c>
    </row>
    <row r="571" spans="1:33">
      <c r="A571" s="9" t="s">
        <v>858</v>
      </c>
    </row>
    <row r="572" spans="1:33">
      <c r="A572" s="9" t="s">
        <v>858</v>
      </c>
    </row>
    <row r="573" spans="1:33">
      <c r="A573" s="9" t="s">
        <v>858</v>
      </c>
    </row>
    <row r="574" spans="1:33">
      <c r="A574" s="9" t="s">
        <v>858</v>
      </c>
    </row>
    <row r="575" spans="1:33">
      <c r="A575" s="9" t="s">
        <v>858</v>
      </c>
    </row>
    <row r="576" spans="1:33">
      <c r="A576" s="9" t="s">
        <v>858</v>
      </c>
    </row>
    <row r="577" spans="1:33">
      <c r="A577" s="9" t="s">
        <v>858</v>
      </c>
    </row>
    <row r="578" spans="1:33">
      <c r="A578" s="9" t="s">
        <v>858</v>
      </c>
    </row>
    <row r="579" spans="1:33">
      <c r="A579" s="9" t="s">
        <v>858</v>
      </c>
    </row>
    <row r="580" spans="1:33">
      <c r="A580" s="9" t="s">
        <v>858</v>
      </c>
    </row>
    <row r="581" spans="1:33">
      <c r="A581" s="9" t="s">
        <v>858</v>
      </c>
    </row>
    <row r="582" spans="1:33">
      <c r="A582" s="9" t="s">
        <v>858</v>
      </c>
    </row>
    <row r="583" spans="1:33">
      <c r="A583" s="9" t="s">
        <v>858</v>
      </c>
    </row>
    <row r="584" spans="1:33">
      <c r="A584" s="9" t="s">
        <v>858</v>
      </c>
    </row>
    <row r="585" spans="1:33">
      <c r="A585" s="9" t="s">
        <v>858</v>
      </c>
    </row>
    <row r="586" spans="1:33">
      <c r="A586" s="9" t="s">
        <v>858</v>
      </c>
    </row>
    <row r="587" spans="1:33">
      <c r="A587" s="9" t="s">
        <v>858</v>
      </c>
    </row>
    <row r="588" spans="1:33">
      <c r="A588" s="9" t="s">
        <v>858</v>
      </c>
    </row>
    <row r="589" spans="1:33">
      <c r="A589" s="9" t="s">
        <v>858</v>
      </c>
    </row>
    <row r="590" spans="1:33">
      <c r="A590" s="19" t="s">
        <v>859</v>
      </c>
      <c r="B590" s="4" t="s">
        <v>860</v>
      </c>
      <c r="C590" s="44" t="s">
        <v>861</v>
      </c>
      <c r="D590" s="4" t="s">
        <v>54</v>
      </c>
      <c r="E590" s="33"/>
      <c r="F590" s="4" t="s">
        <v>862</v>
      </c>
      <c r="G590" s="19" t="s">
        <v>57</v>
      </c>
      <c r="H590" s="19">
        <v>45231</v>
      </c>
      <c r="I590" s="19">
        <v>45384</v>
      </c>
      <c r="J590" s="34">
        <f t="shared" ref="J590:J594" si="30">IF(AND(H590&lt;&gt;"",I590&lt;&gt;""),I590-H590+1,"")</f>
        <v>154</v>
      </c>
      <c r="O590" s="4" t="s">
        <v>50</v>
      </c>
      <c r="P590" s="35"/>
      <c r="Q590" s="36"/>
      <c r="R590" s="37" t="str">
        <f t="shared" ref="R590:R633" si="31">IF(AND(P590&lt;&gt;"",Q590&lt;&gt;""),P590/(Q590/100)^2,"")</f>
        <v/>
      </c>
      <c r="S590" s="4"/>
      <c r="T590" s="33"/>
      <c r="U590" s="33"/>
      <c r="V590" s="4"/>
      <c r="W590" s="4" t="s">
        <v>51</v>
      </c>
      <c r="X590" s="4" t="s">
        <v>123</v>
      </c>
      <c r="Y590" s="4" t="s">
        <v>123</v>
      </c>
      <c r="Z590" s="4" t="s">
        <v>123</v>
      </c>
      <c r="AA590" s="4" t="s">
        <v>123</v>
      </c>
      <c r="AB590" s="4" t="s">
        <v>123</v>
      </c>
      <c r="AC590" s="4" t="s">
        <v>123</v>
      </c>
      <c r="AD590" s="4" t="s">
        <v>123</v>
      </c>
      <c r="AE590" s="4" t="s">
        <v>123</v>
      </c>
      <c r="AF590" s="4" t="s">
        <v>123</v>
      </c>
      <c r="AG590" s="9" t="s">
        <v>123</v>
      </c>
    </row>
    <row r="591" spans="1:33">
      <c r="A591" s="19" t="s">
        <v>859</v>
      </c>
      <c r="B591" s="84" t="s">
        <v>863</v>
      </c>
      <c r="C591" s="44" t="s">
        <v>864</v>
      </c>
      <c r="D591" s="4" t="s">
        <v>54</v>
      </c>
      <c r="E591" s="33"/>
      <c r="F591" s="4" t="s">
        <v>865</v>
      </c>
      <c r="G591" s="19" t="s">
        <v>57</v>
      </c>
      <c r="H591" s="19">
        <v>45148</v>
      </c>
      <c r="I591" s="19">
        <v>45512</v>
      </c>
      <c r="J591" s="34">
        <f t="shared" si="30"/>
        <v>365</v>
      </c>
      <c r="O591" s="4" t="s">
        <v>50</v>
      </c>
      <c r="P591" s="35"/>
      <c r="Q591" s="36"/>
      <c r="R591" s="37" t="str">
        <f t="shared" si="31"/>
        <v/>
      </c>
      <c r="S591" s="4"/>
      <c r="T591" s="33"/>
      <c r="U591" s="33"/>
      <c r="V591" s="4"/>
      <c r="W591" s="4" t="s">
        <v>51</v>
      </c>
      <c r="X591" s="4" t="s">
        <v>51</v>
      </c>
      <c r="Y591" s="4" t="s">
        <v>123</v>
      </c>
      <c r="Z591" s="4" t="s">
        <v>123</v>
      </c>
      <c r="AA591" s="60" t="s">
        <v>52</v>
      </c>
      <c r="AB591" s="60" t="s">
        <v>397</v>
      </c>
      <c r="AC591" s="60" t="s">
        <v>123</v>
      </c>
      <c r="AD591" s="4" t="s">
        <v>123</v>
      </c>
      <c r="AE591" s="4" t="s">
        <v>123</v>
      </c>
      <c r="AF591" s="4" t="s">
        <v>123</v>
      </c>
      <c r="AG591" s="9" t="s">
        <v>123</v>
      </c>
    </row>
    <row r="592" ht="70" customHeight="1" spans="1:33">
      <c r="A592" s="19" t="s">
        <v>859</v>
      </c>
      <c r="B592" s="84" t="s">
        <v>866</v>
      </c>
      <c r="C592" s="44" t="s">
        <v>867</v>
      </c>
      <c r="D592" s="4" t="s">
        <v>48</v>
      </c>
      <c r="E592" s="33"/>
      <c r="F592" s="4" t="s">
        <v>865</v>
      </c>
      <c r="G592" s="19" t="s">
        <v>57</v>
      </c>
      <c r="H592" s="19">
        <v>45120</v>
      </c>
      <c r="I592" s="19">
        <v>45413</v>
      </c>
      <c r="J592" s="34">
        <f t="shared" si="30"/>
        <v>294</v>
      </c>
      <c r="O592" s="4" t="s">
        <v>50</v>
      </c>
      <c r="P592" s="35"/>
      <c r="Q592" s="36"/>
      <c r="R592" s="37" t="str">
        <f t="shared" si="31"/>
        <v/>
      </c>
      <c r="S592" s="4"/>
      <c r="T592" s="33"/>
      <c r="U592" s="33"/>
      <c r="V592" s="4"/>
      <c r="W592" s="4" t="s">
        <v>50</v>
      </c>
      <c r="X592" s="4" t="s">
        <v>51</v>
      </c>
      <c r="Y592" s="4" t="s">
        <v>123</v>
      </c>
      <c r="Z592" s="4" t="s">
        <v>123</v>
      </c>
      <c r="AA592" s="4" t="s">
        <v>123</v>
      </c>
      <c r="AB592" s="4" t="s">
        <v>123</v>
      </c>
      <c r="AC592" s="4" t="s">
        <v>123</v>
      </c>
      <c r="AD592" s="4" t="s">
        <v>123</v>
      </c>
      <c r="AE592" s="4" t="s">
        <v>123</v>
      </c>
      <c r="AF592" s="4" t="s">
        <v>123</v>
      </c>
      <c r="AG592" s="61" t="s">
        <v>868</v>
      </c>
    </row>
    <row r="593" spans="1:33">
      <c r="A593" s="19" t="s">
        <v>859</v>
      </c>
      <c r="B593" s="84" t="s">
        <v>869</v>
      </c>
      <c r="C593" s="44">
        <v>51</v>
      </c>
      <c r="D593" s="4" t="s">
        <v>48</v>
      </c>
      <c r="E593" s="33"/>
      <c r="F593" s="4" t="s">
        <v>870</v>
      </c>
      <c r="G593" s="19" t="s">
        <v>57</v>
      </c>
      <c r="H593" s="19">
        <v>45013</v>
      </c>
      <c r="I593" s="19">
        <v>45720</v>
      </c>
      <c r="J593" s="34">
        <f t="shared" si="30"/>
        <v>708</v>
      </c>
      <c r="O593" s="4" t="s">
        <v>50</v>
      </c>
      <c r="P593" s="35"/>
      <c r="Q593" s="36"/>
      <c r="R593" s="37" t="str">
        <f t="shared" si="31"/>
        <v/>
      </c>
      <c r="S593" s="4"/>
      <c r="T593" s="33"/>
      <c r="U593" s="33"/>
      <c r="V593" s="4"/>
      <c r="W593" s="4" t="s">
        <v>51</v>
      </c>
      <c r="X593" s="4" t="s">
        <v>51</v>
      </c>
      <c r="Y593" s="4" t="s">
        <v>123</v>
      </c>
      <c r="Z593" s="4" t="s">
        <v>123</v>
      </c>
      <c r="AA593" s="4" t="s">
        <v>52</v>
      </c>
      <c r="AB593" s="4" t="s">
        <v>397</v>
      </c>
      <c r="AC593" s="4" t="s">
        <v>123</v>
      </c>
      <c r="AD593" s="4" t="s">
        <v>123</v>
      </c>
      <c r="AE593" s="4" t="s">
        <v>123</v>
      </c>
      <c r="AF593" s="4" t="s">
        <v>123</v>
      </c>
      <c r="AG593" s="9" t="s">
        <v>123</v>
      </c>
    </row>
    <row r="594" ht="30" spans="1:33">
      <c r="A594" s="19" t="s">
        <v>859</v>
      </c>
      <c r="B594" s="4" t="s">
        <v>871</v>
      </c>
      <c r="C594" s="44" t="s">
        <v>872</v>
      </c>
      <c r="D594" s="4" t="s">
        <v>48</v>
      </c>
      <c r="E594" s="33"/>
      <c r="F594" s="4" t="s">
        <v>873</v>
      </c>
      <c r="G594" s="19" t="s">
        <v>57</v>
      </c>
      <c r="H594" s="19">
        <v>45117</v>
      </c>
      <c r="I594" s="19">
        <v>45495</v>
      </c>
      <c r="J594" s="34">
        <f t="shared" si="30"/>
        <v>379</v>
      </c>
      <c r="O594" s="4" t="s">
        <v>51</v>
      </c>
      <c r="P594" s="35"/>
      <c r="Q594" s="36"/>
      <c r="R594" s="37" t="str">
        <f t="shared" si="31"/>
        <v/>
      </c>
      <c r="S594" s="4"/>
      <c r="T594" s="33"/>
      <c r="U594" s="33"/>
      <c r="V594" s="4"/>
      <c r="W594" s="4" t="s">
        <v>51</v>
      </c>
      <c r="X594" s="4" t="s">
        <v>51</v>
      </c>
      <c r="Y594" s="4" t="s">
        <v>123</v>
      </c>
      <c r="Z594" s="4" t="s">
        <v>123</v>
      </c>
      <c r="AA594" s="60" t="s">
        <v>52</v>
      </c>
      <c r="AB594" s="60" t="s">
        <v>397</v>
      </c>
      <c r="AC594" s="4" t="s">
        <v>123</v>
      </c>
      <c r="AD594" s="4" t="s">
        <v>123</v>
      </c>
      <c r="AE594" s="4" t="s">
        <v>123</v>
      </c>
      <c r="AF594" s="4" t="s">
        <v>123</v>
      </c>
      <c r="AG594" s="9" t="s">
        <v>123</v>
      </c>
    </row>
    <row r="595" ht="37" customHeight="1" spans="1:33">
      <c r="A595" s="19" t="s">
        <v>859</v>
      </c>
      <c r="B595" s="84" t="s">
        <v>874</v>
      </c>
      <c r="C595" s="44" t="s">
        <v>867</v>
      </c>
      <c r="D595" s="4" t="s">
        <v>48</v>
      </c>
      <c r="E595" s="33"/>
      <c r="F595" s="4" t="s">
        <v>875</v>
      </c>
      <c r="G595" s="19" t="s">
        <v>57</v>
      </c>
      <c r="H595" s="19" t="s">
        <v>876</v>
      </c>
      <c r="I595" s="19"/>
      <c r="J595" s="34"/>
      <c r="O595" s="4" t="s">
        <v>50</v>
      </c>
      <c r="P595" s="35"/>
      <c r="Q595" s="36"/>
      <c r="R595" s="37" t="str">
        <f t="shared" si="31"/>
        <v/>
      </c>
      <c r="S595" s="4"/>
      <c r="T595" s="33"/>
      <c r="U595" s="33"/>
      <c r="V595" s="4"/>
      <c r="W595" s="4" t="s">
        <v>50</v>
      </c>
      <c r="X595" s="4" t="s">
        <v>877</v>
      </c>
      <c r="Y595" s="4" t="s">
        <v>878</v>
      </c>
      <c r="Z595" s="4" t="s">
        <v>879</v>
      </c>
      <c r="AA595" s="19" t="s">
        <v>880</v>
      </c>
      <c r="AB595" s="19" t="s">
        <v>880</v>
      </c>
      <c r="AC595" s="60" t="s">
        <v>880</v>
      </c>
      <c r="AD595" s="60" t="s">
        <v>880</v>
      </c>
      <c r="AE595" s="60" t="s">
        <v>880</v>
      </c>
      <c r="AF595" s="60" t="s">
        <v>880</v>
      </c>
      <c r="AG595" s="61" t="s">
        <v>881</v>
      </c>
    </row>
    <row r="596" ht="30" spans="1:33">
      <c r="A596" s="19" t="s">
        <v>859</v>
      </c>
      <c r="B596" s="84" t="s">
        <v>882</v>
      </c>
      <c r="C596" s="44" t="s">
        <v>883</v>
      </c>
      <c r="D596" s="4" t="s">
        <v>48</v>
      </c>
      <c r="E596" s="33"/>
      <c r="F596" s="4" t="s">
        <v>884</v>
      </c>
      <c r="G596" s="19" t="s">
        <v>57</v>
      </c>
      <c r="H596" s="19">
        <v>45091</v>
      </c>
      <c r="I596" s="19">
        <v>45482</v>
      </c>
      <c r="J596" s="34">
        <f>IF(AND(H596&lt;&gt;"",I596&lt;&gt;""),I596-H596+1,"")</f>
        <v>392</v>
      </c>
      <c r="O596" s="4" t="s">
        <v>50</v>
      </c>
      <c r="P596" s="35"/>
      <c r="Q596" s="36"/>
      <c r="R596" s="37" t="str">
        <f t="shared" si="31"/>
        <v/>
      </c>
      <c r="S596" s="4"/>
      <c r="T596" s="33"/>
      <c r="U596" s="33"/>
      <c r="V596" s="4"/>
      <c r="W596" s="4" t="s">
        <v>51</v>
      </c>
      <c r="X596" s="4" t="s">
        <v>51</v>
      </c>
      <c r="Y596" s="4" t="s">
        <v>123</v>
      </c>
      <c r="Z596" s="4" t="s">
        <v>123</v>
      </c>
      <c r="AA596" s="60" t="s">
        <v>52</v>
      </c>
      <c r="AB596" s="60" t="s">
        <v>397</v>
      </c>
      <c r="AC596" s="4" t="s">
        <v>123</v>
      </c>
      <c r="AD596" s="4" t="s">
        <v>123</v>
      </c>
      <c r="AE596" s="4" t="s">
        <v>123</v>
      </c>
      <c r="AF596" s="4" t="s">
        <v>123</v>
      </c>
      <c r="AG596" s="9" t="s">
        <v>123</v>
      </c>
    </row>
    <row r="597" ht="42" spans="1:33">
      <c r="A597" s="19" t="s">
        <v>859</v>
      </c>
      <c r="B597" s="4" t="s">
        <v>885</v>
      </c>
      <c r="C597" s="44" t="s">
        <v>886</v>
      </c>
      <c r="D597" s="4" t="s">
        <v>54</v>
      </c>
      <c r="E597" s="33"/>
      <c r="F597" s="4" t="s">
        <v>887</v>
      </c>
      <c r="G597" s="19" t="s">
        <v>57</v>
      </c>
      <c r="H597" s="19">
        <v>45080</v>
      </c>
      <c r="I597" s="19"/>
      <c r="J597" s="34"/>
      <c r="O597" s="4" t="s">
        <v>51</v>
      </c>
      <c r="P597" s="35"/>
      <c r="Q597" s="36"/>
      <c r="R597" s="37" t="str">
        <f t="shared" si="31"/>
        <v/>
      </c>
      <c r="S597" s="4"/>
      <c r="T597" s="33"/>
      <c r="U597" s="33"/>
      <c r="V597" s="4"/>
      <c r="W597" s="4" t="s">
        <v>51</v>
      </c>
      <c r="X597" s="4" t="s">
        <v>386</v>
      </c>
      <c r="Y597" s="4" t="s">
        <v>386</v>
      </c>
      <c r="Z597" s="4" t="s">
        <v>386</v>
      </c>
      <c r="AA597" s="60" t="s">
        <v>386</v>
      </c>
      <c r="AB597" s="60" t="s">
        <v>108</v>
      </c>
      <c r="AC597" s="60" t="s">
        <v>386</v>
      </c>
      <c r="AD597" s="60" t="s">
        <v>386</v>
      </c>
      <c r="AE597" s="60" t="s">
        <v>386</v>
      </c>
      <c r="AF597" s="60" t="s">
        <v>386</v>
      </c>
      <c r="AG597" s="61" t="s">
        <v>888</v>
      </c>
    </row>
    <row r="598" ht="43.5" spans="1:33">
      <c r="A598" s="19" t="s">
        <v>859</v>
      </c>
      <c r="B598" s="84" t="s">
        <v>889</v>
      </c>
      <c r="C598" s="44" t="s">
        <v>48</v>
      </c>
      <c r="D598" s="4" t="s">
        <v>890</v>
      </c>
      <c r="E598" s="33"/>
      <c r="F598" s="4" t="s">
        <v>873</v>
      </c>
      <c r="G598" s="19" t="s">
        <v>57</v>
      </c>
      <c r="H598" s="19" t="s">
        <v>891</v>
      </c>
      <c r="I598" s="19"/>
      <c r="J598" s="34"/>
      <c r="O598" s="4" t="s">
        <v>50</v>
      </c>
      <c r="P598" s="35"/>
      <c r="Q598" s="36"/>
      <c r="R598" s="37" t="str">
        <f t="shared" si="31"/>
        <v/>
      </c>
      <c r="S598" s="4"/>
      <c r="T598" s="33"/>
      <c r="U598" s="33"/>
      <c r="V598" s="4"/>
      <c r="W598" s="4" t="s">
        <v>50</v>
      </c>
      <c r="X598" s="4" t="s">
        <v>892</v>
      </c>
      <c r="Y598" s="4" t="s">
        <v>892</v>
      </c>
      <c r="Z598" s="4" t="s">
        <v>892</v>
      </c>
      <c r="AA598" s="60" t="s">
        <v>177</v>
      </c>
      <c r="AB598" s="60" t="s">
        <v>108</v>
      </c>
      <c r="AC598" s="60" t="s">
        <v>177</v>
      </c>
      <c r="AD598" s="60" t="s">
        <v>177</v>
      </c>
      <c r="AE598" s="60" t="s">
        <v>177</v>
      </c>
      <c r="AF598" s="60" t="s">
        <v>177</v>
      </c>
      <c r="AG598" s="61" t="s">
        <v>893</v>
      </c>
    </row>
    <row r="599" ht="30" spans="1:33">
      <c r="A599" s="19" t="s">
        <v>859</v>
      </c>
      <c r="B599" s="84" t="s">
        <v>894</v>
      </c>
      <c r="C599" s="44" t="s">
        <v>48</v>
      </c>
      <c r="D599" s="4" t="s">
        <v>895</v>
      </c>
      <c r="E599" s="33"/>
      <c r="F599" s="4" t="s">
        <v>873</v>
      </c>
      <c r="G599" s="19" t="s">
        <v>57</v>
      </c>
      <c r="H599" s="19" t="s">
        <v>896</v>
      </c>
      <c r="I599" s="19"/>
      <c r="J599" s="34"/>
      <c r="O599" s="4" t="s">
        <v>50</v>
      </c>
      <c r="P599" s="35"/>
      <c r="Q599" s="36"/>
      <c r="R599" s="37" t="str">
        <f t="shared" si="31"/>
        <v/>
      </c>
      <c r="S599" s="4"/>
      <c r="T599" s="33"/>
      <c r="U599" s="33"/>
      <c r="V599" s="4"/>
      <c r="W599" s="4" t="s">
        <v>51</v>
      </c>
      <c r="X599" s="4" t="s">
        <v>123</v>
      </c>
      <c r="Y599" s="4" t="s">
        <v>123</v>
      </c>
      <c r="Z599" s="4" t="s">
        <v>123</v>
      </c>
      <c r="AA599" s="60" t="s">
        <v>123</v>
      </c>
      <c r="AB599" s="60" t="s">
        <v>123</v>
      </c>
      <c r="AC599" s="60" t="s">
        <v>123</v>
      </c>
      <c r="AD599" s="60" t="s">
        <v>123</v>
      </c>
      <c r="AE599" s="60" t="s">
        <v>123</v>
      </c>
      <c r="AF599" s="60" t="s">
        <v>123</v>
      </c>
      <c r="AG599" s="61" t="s">
        <v>897</v>
      </c>
    </row>
    <row r="600" ht="42" spans="1:33">
      <c r="A600" s="19" t="s">
        <v>859</v>
      </c>
      <c r="B600" s="4" t="s">
        <v>898</v>
      </c>
      <c r="C600" s="44" t="s">
        <v>48</v>
      </c>
      <c r="D600" s="4" t="s">
        <v>899</v>
      </c>
      <c r="E600" s="33"/>
      <c r="F600" s="4" t="s">
        <v>873</v>
      </c>
      <c r="G600" s="19" t="s">
        <v>57</v>
      </c>
      <c r="H600" s="19" t="s">
        <v>900</v>
      </c>
      <c r="I600" s="19"/>
      <c r="J600" s="34"/>
      <c r="O600" s="4" t="s">
        <v>50</v>
      </c>
      <c r="P600" s="35"/>
      <c r="Q600" s="36"/>
      <c r="R600" s="37" t="str">
        <f t="shared" si="31"/>
        <v/>
      </c>
      <c r="S600" s="4"/>
      <c r="T600" s="33"/>
      <c r="U600" s="33"/>
      <c r="V600" s="4"/>
      <c r="W600" s="4" t="s">
        <v>50</v>
      </c>
      <c r="X600" s="4" t="s">
        <v>123</v>
      </c>
      <c r="Y600" s="4" t="s">
        <v>123</v>
      </c>
      <c r="Z600" s="4" t="s">
        <v>123</v>
      </c>
      <c r="AA600" s="60" t="s">
        <v>123</v>
      </c>
      <c r="AB600" s="60" t="s">
        <v>123</v>
      </c>
      <c r="AC600" s="60" t="s">
        <v>123</v>
      </c>
      <c r="AD600" s="60" t="s">
        <v>123</v>
      </c>
      <c r="AE600" s="60" t="s">
        <v>123</v>
      </c>
      <c r="AF600" s="60" t="s">
        <v>123</v>
      </c>
      <c r="AG600" s="61" t="s">
        <v>901</v>
      </c>
    </row>
    <row r="601" ht="42" spans="1:33">
      <c r="A601" s="19" t="s">
        <v>859</v>
      </c>
      <c r="B601" s="4" t="s">
        <v>902</v>
      </c>
      <c r="C601" s="44" t="s">
        <v>48</v>
      </c>
      <c r="D601" s="4" t="s">
        <v>883</v>
      </c>
      <c r="E601" s="33"/>
      <c r="F601" s="4" t="s">
        <v>903</v>
      </c>
      <c r="G601" s="19" t="s">
        <v>57</v>
      </c>
      <c r="H601" s="19">
        <v>45023</v>
      </c>
      <c r="I601" s="19"/>
      <c r="J601" s="34"/>
      <c r="O601" s="4" t="s">
        <v>904</v>
      </c>
      <c r="P601" s="35"/>
      <c r="Q601" s="36"/>
      <c r="R601" s="37" t="str">
        <f t="shared" si="31"/>
        <v/>
      </c>
      <c r="S601" s="4"/>
      <c r="T601" s="33"/>
      <c r="U601" s="33"/>
      <c r="V601" s="4"/>
      <c r="W601" s="19" t="s">
        <v>397</v>
      </c>
      <c r="X601" s="4" t="s">
        <v>123</v>
      </c>
      <c r="Y601" s="4" t="s">
        <v>123</v>
      </c>
      <c r="Z601" s="4" t="s">
        <v>123</v>
      </c>
      <c r="AA601" s="60" t="s">
        <v>123</v>
      </c>
      <c r="AB601" s="60" t="s">
        <v>123</v>
      </c>
      <c r="AC601" s="60" t="s">
        <v>123</v>
      </c>
      <c r="AD601" s="60" t="s">
        <v>123</v>
      </c>
      <c r="AE601" s="60" t="s">
        <v>123</v>
      </c>
      <c r="AF601" s="60" t="s">
        <v>123</v>
      </c>
      <c r="AG601" s="61" t="s">
        <v>905</v>
      </c>
    </row>
    <row r="602" ht="42" spans="1:33">
      <c r="A602" s="19" t="s">
        <v>859</v>
      </c>
      <c r="B602" s="4" t="s">
        <v>906</v>
      </c>
      <c r="C602" s="44" t="s">
        <v>48</v>
      </c>
      <c r="D602" s="4" t="s">
        <v>907</v>
      </c>
      <c r="E602" s="33"/>
      <c r="F602" s="4" t="s">
        <v>875</v>
      </c>
      <c r="G602" s="19" t="s">
        <v>57</v>
      </c>
      <c r="H602" s="19" t="s">
        <v>908</v>
      </c>
      <c r="I602" s="19"/>
      <c r="J602" s="34"/>
      <c r="O602" s="4" t="s">
        <v>50</v>
      </c>
      <c r="P602" s="35"/>
      <c r="Q602" s="36"/>
      <c r="R602" s="37" t="str">
        <f t="shared" si="31"/>
        <v/>
      </c>
      <c r="S602" s="4"/>
      <c r="T602" s="33"/>
      <c r="U602" s="33"/>
      <c r="V602" s="4"/>
      <c r="W602" s="4" t="s">
        <v>51</v>
      </c>
      <c r="X602" s="4" t="s">
        <v>123</v>
      </c>
      <c r="Y602" s="4" t="s">
        <v>123</v>
      </c>
      <c r="Z602" s="4" t="s">
        <v>123</v>
      </c>
      <c r="AA602" s="60" t="s">
        <v>123</v>
      </c>
      <c r="AB602" s="60" t="s">
        <v>123</v>
      </c>
      <c r="AC602" s="60" t="s">
        <v>123</v>
      </c>
      <c r="AD602" s="60" t="s">
        <v>123</v>
      </c>
      <c r="AE602" s="60" t="s">
        <v>123</v>
      </c>
      <c r="AF602" s="60" t="s">
        <v>123</v>
      </c>
      <c r="AG602" s="61" t="s">
        <v>909</v>
      </c>
    </row>
    <row r="603" ht="30" spans="1:33">
      <c r="A603" s="19" t="s">
        <v>859</v>
      </c>
      <c r="B603" s="84" t="s">
        <v>910</v>
      </c>
      <c r="C603" s="44" t="s">
        <v>54</v>
      </c>
      <c r="D603" s="4" t="s">
        <v>911</v>
      </c>
      <c r="E603" s="33"/>
      <c r="F603" s="4" t="s">
        <v>912</v>
      </c>
      <c r="G603" s="62" t="s">
        <v>57</v>
      </c>
      <c r="H603" s="62" t="s">
        <v>913</v>
      </c>
      <c r="I603" s="19">
        <v>45383</v>
      </c>
      <c r="J603" s="34">
        <f t="shared" ref="J603:J605" si="32">IF(AND(H603&lt;&gt;"",I603&lt;&gt;""),I603-H603+1,"")</f>
        <v>364</v>
      </c>
      <c r="O603" s="4" t="s">
        <v>51</v>
      </c>
      <c r="P603" s="35"/>
      <c r="Q603" s="36"/>
      <c r="R603" s="37" t="str">
        <f t="shared" si="31"/>
        <v/>
      </c>
      <c r="S603" s="4"/>
      <c r="T603" s="33"/>
      <c r="U603" s="33"/>
      <c r="V603" s="4"/>
      <c r="W603" s="4" t="s">
        <v>51</v>
      </c>
      <c r="X603" s="4" t="s">
        <v>51</v>
      </c>
      <c r="Y603" s="4" t="s">
        <v>51</v>
      </c>
      <c r="Z603" s="4" t="s">
        <v>343</v>
      </c>
      <c r="AA603" s="60" t="s">
        <v>52</v>
      </c>
      <c r="AB603" s="60" t="s">
        <v>52</v>
      </c>
      <c r="AC603" s="60" t="s">
        <v>52</v>
      </c>
      <c r="AD603" s="60" t="s">
        <v>52</v>
      </c>
      <c r="AE603" s="60" t="s">
        <v>52</v>
      </c>
      <c r="AF603" s="60" t="s">
        <v>52</v>
      </c>
    </row>
    <row r="604" spans="1:33">
      <c r="A604" s="19" t="s">
        <v>859</v>
      </c>
      <c r="B604" s="4" t="s">
        <v>914</v>
      </c>
      <c r="C604" s="44" t="s">
        <v>48</v>
      </c>
      <c r="D604" s="4" t="s">
        <v>915</v>
      </c>
      <c r="E604" s="33"/>
      <c r="F604" s="4" t="s">
        <v>870</v>
      </c>
      <c r="G604" s="62" t="s">
        <v>57</v>
      </c>
      <c r="H604" s="62" t="s">
        <v>916</v>
      </c>
      <c r="I604" s="19">
        <v>45405</v>
      </c>
      <c r="J604" s="34">
        <f t="shared" si="32"/>
        <v>399</v>
      </c>
      <c r="O604" s="4" t="s">
        <v>50</v>
      </c>
      <c r="P604" s="35"/>
      <c r="Q604" s="36"/>
      <c r="R604" s="37" t="str">
        <f t="shared" si="31"/>
        <v/>
      </c>
      <c r="S604" s="4"/>
      <c r="T604" s="33"/>
      <c r="U604" s="33"/>
      <c r="V604" s="4"/>
      <c r="W604" s="4" t="s">
        <v>51</v>
      </c>
      <c r="X604" s="4" t="s">
        <v>51</v>
      </c>
      <c r="Y604" s="4" t="s">
        <v>123</v>
      </c>
      <c r="Z604" s="4" t="s">
        <v>123</v>
      </c>
      <c r="AA604" s="60" t="s">
        <v>52</v>
      </c>
      <c r="AB604" s="60" t="s">
        <v>52</v>
      </c>
      <c r="AC604" s="60" t="s">
        <v>123</v>
      </c>
      <c r="AD604" s="60" t="s">
        <v>123</v>
      </c>
      <c r="AE604" s="60" t="s">
        <v>123</v>
      </c>
      <c r="AF604" s="60" t="s">
        <v>123</v>
      </c>
    </row>
    <row r="605" spans="1:33">
      <c r="A605" s="19" t="s">
        <v>859</v>
      </c>
      <c r="B605" s="84" t="s">
        <v>917</v>
      </c>
      <c r="C605" s="44" t="s">
        <v>48</v>
      </c>
      <c r="D605" s="4" t="s">
        <v>918</v>
      </c>
      <c r="E605" s="33"/>
      <c r="F605" s="4" t="s">
        <v>919</v>
      </c>
      <c r="G605" s="19" t="s">
        <v>57</v>
      </c>
      <c r="H605" s="19">
        <v>45002</v>
      </c>
      <c r="I605" s="19">
        <v>45279</v>
      </c>
      <c r="J605" s="34">
        <f t="shared" si="32"/>
        <v>278</v>
      </c>
      <c r="O605" s="4" t="s">
        <v>51</v>
      </c>
      <c r="P605" s="35"/>
      <c r="Q605" s="36"/>
      <c r="R605" s="37" t="str">
        <f t="shared" si="31"/>
        <v/>
      </c>
      <c r="S605" s="4"/>
      <c r="T605" s="33"/>
      <c r="U605" s="33"/>
      <c r="V605" s="4"/>
      <c r="W605" s="4" t="s">
        <v>51</v>
      </c>
      <c r="X605" s="4" t="s">
        <v>51</v>
      </c>
      <c r="Y605" s="4" t="s">
        <v>397</v>
      </c>
      <c r="Z605" s="4" t="s">
        <v>51</v>
      </c>
      <c r="AA605" s="60" t="s">
        <v>52</v>
      </c>
      <c r="AB605" s="60" t="s">
        <v>397</v>
      </c>
      <c r="AC605" s="60" t="s">
        <v>52</v>
      </c>
      <c r="AD605" s="60" t="s">
        <v>397</v>
      </c>
      <c r="AE605" s="60" t="s">
        <v>52</v>
      </c>
      <c r="AF605" s="60" t="s">
        <v>397</v>
      </c>
    </row>
    <row r="606" ht="30" spans="1:33">
      <c r="A606" s="19" t="s">
        <v>859</v>
      </c>
      <c r="B606" s="4" t="s">
        <v>920</v>
      </c>
      <c r="C606" s="44" t="s">
        <v>54</v>
      </c>
      <c r="D606" s="4" t="s">
        <v>921</v>
      </c>
      <c r="E606" s="33"/>
      <c r="F606" s="4" t="s">
        <v>922</v>
      </c>
      <c r="G606" s="19" t="s">
        <v>57</v>
      </c>
      <c r="H606" s="19">
        <v>44775</v>
      </c>
      <c r="I606" s="19"/>
      <c r="J606" s="34"/>
      <c r="O606" s="4" t="s">
        <v>50</v>
      </c>
      <c r="P606" s="35"/>
      <c r="Q606" s="36"/>
      <c r="R606" s="37" t="str">
        <f t="shared" si="31"/>
        <v/>
      </c>
      <c r="S606" s="4"/>
      <c r="T606" s="33"/>
      <c r="U606" s="33"/>
      <c r="V606" s="4"/>
      <c r="W606" s="4" t="s">
        <v>51</v>
      </c>
      <c r="X606" s="4" t="s">
        <v>397</v>
      </c>
      <c r="Y606" s="4" t="s">
        <v>397</v>
      </c>
      <c r="Z606" s="4" t="s">
        <v>397</v>
      </c>
      <c r="AA606" s="60" t="s">
        <v>123</v>
      </c>
      <c r="AB606" s="60" t="s">
        <v>123</v>
      </c>
      <c r="AC606" s="60" t="s">
        <v>123</v>
      </c>
      <c r="AD606" s="60" t="s">
        <v>123</v>
      </c>
      <c r="AE606" s="60" t="s">
        <v>123</v>
      </c>
      <c r="AF606" s="60" t="s">
        <v>123</v>
      </c>
      <c r="AG606" s="61" t="s">
        <v>923</v>
      </c>
    </row>
    <row r="607" ht="42" spans="1:33">
      <c r="A607" s="19" t="s">
        <v>859</v>
      </c>
      <c r="B607" s="4" t="s">
        <v>924</v>
      </c>
      <c r="C607" s="44" t="s">
        <v>48</v>
      </c>
      <c r="D607" s="4" t="s">
        <v>925</v>
      </c>
      <c r="E607" s="33"/>
      <c r="F607" s="4" t="s">
        <v>862</v>
      </c>
      <c r="G607" s="19" t="s">
        <v>57</v>
      </c>
      <c r="H607" s="19" t="s">
        <v>926</v>
      </c>
      <c r="I607" s="19"/>
      <c r="J607" s="34"/>
      <c r="O607" s="4" t="s">
        <v>50</v>
      </c>
      <c r="P607" s="35"/>
      <c r="Q607" s="36"/>
      <c r="R607" s="37" t="str">
        <f t="shared" si="31"/>
        <v/>
      </c>
      <c r="S607" s="4"/>
      <c r="T607" s="33"/>
      <c r="U607" s="33"/>
      <c r="V607" s="4"/>
      <c r="W607" s="4" t="s">
        <v>51</v>
      </c>
      <c r="X607" s="4" t="s">
        <v>123</v>
      </c>
      <c r="Y607" s="4" t="s">
        <v>123</v>
      </c>
      <c r="Z607" s="4" t="s">
        <v>123</v>
      </c>
      <c r="AA607" s="60" t="s">
        <v>123</v>
      </c>
      <c r="AB607" s="60" t="s">
        <v>108</v>
      </c>
      <c r="AC607" s="60" t="s">
        <v>123</v>
      </c>
      <c r="AD607" s="60" t="s">
        <v>108</v>
      </c>
      <c r="AE607" s="60" t="s">
        <v>123</v>
      </c>
      <c r="AF607" s="60" t="s">
        <v>108</v>
      </c>
      <c r="AG607" s="61" t="s">
        <v>927</v>
      </c>
    </row>
    <row r="608" ht="30" spans="1:33">
      <c r="A608" s="19" t="s">
        <v>859</v>
      </c>
      <c r="B608" s="84" t="s">
        <v>928</v>
      </c>
      <c r="C608" s="44" t="s">
        <v>48</v>
      </c>
      <c r="D608" s="4" t="s">
        <v>929</v>
      </c>
      <c r="E608" s="33"/>
      <c r="F608" s="4" t="s">
        <v>930</v>
      </c>
      <c r="G608" s="19" t="s">
        <v>57</v>
      </c>
      <c r="H608" s="19">
        <v>44980</v>
      </c>
      <c r="I608" s="19">
        <v>45314</v>
      </c>
      <c r="J608" s="34">
        <f t="shared" ref="J608:J635" si="33">IF(AND(H608&lt;&gt;"",I608&lt;&gt;""),I608-H608+1,"")</f>
        <v>335</v>
      </c>
      <c r="O608" s="4" t="s">
        <v>50</v>
      </c>
      <c r="P608" s="35"/>
      <c r="Q608" s="36"/>
      <c r="R608" s="37" t="str">
        <f t="shared" si="31"/>
        <v/>
      </c>
      <c r="S608" s="4"/>
      <c r="T608" s="33"/>
      <c r="U608" s="33"/>
      <c r="V608" s="4"/>
      <c r="W608" s="4" t="s">
        <v>51</v>
      </c>
      <c r="X608" s="4" t="s">
        <v>51</v>
      </c>
      <c r="Y608" s="4" t="s">
        <v>51</v>
      </c>
      <c r="Z608" s="4" t="s">
        <v>931</v>
      </c>
      <c r="AA608" s="60" t="s">
        <v>52</v>
      </c>
      <c r="AB608" s="60" t="s">
        <v>397</v>
      </c>
      <c r="AC608" s="60" t="s">
        <v>52</v>
      </c>
      <c r="AD608" s="60" t="s">
        <v>397</v>
      </c>
      <c r="AE608" s="60" t="s">
        <v>108</v>
      </c>
      <c r="AF608" s="60" t="s">
        <v>932</v>
      </c>
    </row>
    <row r="609" ht="43.5" spans="1:33">
      <c r="A609" s="19" t="s">
        <v>859</v>
      </c>
      <c r="B609" s="4" t="s">
        <v>933</v>
      </c>
      <c r="C609" s="44" t="s">
        <v>48</v>
      </c>
      <c r="D609" s="4" t="s">
        <v>934</v>
      </c>
      <c r="E609" s="33"/>
      <c r="F609" s="4" t="s">
        <v>935</v>
      </c>
      <c r="G609" s="19" t="s">
        <v>57</v>
      </c>
      <c r="H609" s="19" t="s">
        <v>936</v>
      </c>
      <c r="I609" s="19"/>
      <c r="J609" s="34"/>
      <c r="O609" s="4" t="s">
        <v>50</v>
      </c>
      <c r="P609" s="35"/>
      <c r="Q609" s="36"/>
      <c r="R609" s="37" t="str">
        <f t="shared" si="31"/>
        <v/>
      </c>
      <c r="S609" s="4"/>
      <c r="T609" s="33"/>
      <c r="U609" s="33"/>
      <c r="V609" s="4"/>
      <c r="W609" s="4" t="s">
        <v>51</v>
      </c>
      <c r="X609" s="19" t="s">
        <v>386</v>
      </c>
      <c r="Y609" s="19" t="s">
        <v>386</v>
      </c>
      <c r="Z609" s="19" t="s">
        <v>386</v>
      </c>
      <c r="AA609" s="60" t="s">
        <v>386</v>
      </c>
      <c r="AB609" s="60" t="s">
        <v>386</v>
      </c>
      <c r="AC609" s="60" t="s">
        <v>386</v>
      </c>
      <c r="AD609" s="60" t="s">
        <v>386</v>
      </c>
      <c r="AE609" s="60" t="s">
        <v>386</v>
      </c>
      <c r="AF609" s="60" t="s">
        <v>386</v>
      </c>
      <c r="AG609" s="61" t="s">
        <v>937</v>
      </c>
    </row>
    <row r="610" spans="1:33">
      <c r="A610" s="19" t="s">
        <v>859</v>
      </c>
      <c r="B610" s="84" t="s">
        <v>938</v>
      </c>
      <c r="C610" s="44" t="s">
        <v>54</v>
      </c>
      <c r="D610" s="4" t="s">
        <v>939</v>
      </c>
      <c r="E610" s="33"/>
      <c r="F610" s="4" t="s">
        <v>940</v>
      </c>
      <c r="G610" s="19" t="s">
        <v>57</v>
      </c>
      <c r="H610" s="19">
        <v>44712</v>
      </c>
      <c r="I610" s="19">
        <v>45085</v>
      </c>
      <c r="J610" s="34">
        <f t="shared" si="33"/>
        <v>374</v>
      </c>
      <c r="O610" s="4" t="s">
        <v>50</v>
      </c>
      <c r="P610" s="35"/>
      <c r="Q610" s="36"/>
      <c r="R610" s="37" t="str">
        <f t="shared" si="31"/>
        <v/>
      </c>
      <c r="S610" s="4"/>
      <c r="T610" s="33"/>
      <c r="U610" s="33"/>
      <c r="V610" s="4"/>
      <c r="W610" s="4" t="s">
        <v>51</v>
      </c>
      <c r="X610" s="4" t="s">
        <v>51</v>
      </c>
      <c r="Y610" s="4" t="s">
        <v>123</v>
      </c>
      <c r="Z610" s="4" t="s">
        <v>123</v>
      </c>
      <c r="AA610" s="60" t="s">
        <v>52</v>
      </c>
      <c r="AB610" s="60" t="s">
        <v>397</v>
      </c>
      <c r="AC610" s="60" t="s">
        <v>123</v>
      </c>
      <c r="AD610" s="60" t="s">
        <v>123</v>
      </c>
      <c r="AE610" s="60" t="s">
        <v>123</v>
      </c>
      <c r="AF610" s="60" t="s">
        <v>123</v>
      </c>
      <c r="AG610" s="9" t="s">
        <v>123</v>
      </c>
    </row>
    <row r="611" ht="28.5" spans="1:33">
      <c r="A611" s="19" t="s">
        <v>859</v>
      </c>
      <c r="B611" s="4" t="s">
        <v>941</v>
      </c>
      <c r="C611" s="44" t="s">
        <v>48</v>
      </c>
      <c r="D611" s="4" t="s">
        <v>942</v>
      </c>
      <c r="E611" s="33"/>
      <c r="F611" s="4" t="s">
        <v>943</v>
      </c>
      <c r="G611" s="19" t="s">
        <v>57</v>
      </c>
      <c r="H611" s="19">
        <v>45002</v>
      </c>
      <c r="I611" s="19" t="s">
        <v>944</v>
      </c>
      <c r="J611" s="34"/>
      <c r="O611" s="4" t="s">
        <v>51</v>
      </c>
      <c r="P611" s="35"/>
      <c r="Q611" s="36"/>
      <c r="R611" s="37" t="str">
        <f t="shared" si="31"/>
        <v/>
      </c>
      <c r="S611" s="4"/>
      <c r="T611" s="33"/>
      <c r="U611" s="33"/>
      <c r="V611" s="4"/>
      <c r="W611" s="4" t="s">
        <v>51</v>
      </c>
      <c r="X611" s="19" t="s">
        <v>944</v>
      </c>
      <c r="Y611" s="19" t="s">
        <v>944</v>
      </c>
      <c r="Z611" s="19" t="s">
        <v>944</v>
      </c>
      <c r="AA611" s="19" t="s">
        <v>108</v>
      </c>
      <c r="AB611" s="19" t="s">
        <v>945</v>
      </c>
      <c r="AC611" s="19" t="s">
        <v>945</v>
      </c>
      <c r="AD611" s="19" t="s">
        <v>945</v>
      </c>
      <c r="AE611" s="19" t="s">
        <v>945</v>
      </c>
      <c r="AF611" s="19" t="s">
        <v>945</v>
      </c>
      <c r="AG611" s="9" t="s">
        <v>177</v>
      </c>
    </row>
    <row r="612" spans="1:33">
      <c r="A612" s="19" t="s">
        <v>859</v>
      </c>
      <c r="B612" s="4" t="s">
        <v>946</v>
      </c>
      <c r="C612" s="44" t="s">
        <v>54</v>
      </c>
      <c r="D612" s="4" t="s">
        <v>947</v>
      </c>
      <c r="E612" s="33"/>
      <c r="F612" s="4" t="s">
        <v>948</v>
      </c>
      <c r="G612" s="19" t="s">
        <v>57</v>
      </c>
      <c r="H612" s="19">
        <v>44973</v>
      </c>
      <c r="I612" s="19">
        <v>45237</v>
      </c>
      <c r="J612" s="34">
        <f t="shared" si="33"/>
        <v>265</v>
      </c>
      <c r="O612" s="4" t="s">
        <v>50</v>
      </c>
      <c r="P612" s="35"/>
      <c r="Q612" s="36"/>
      <c r="R612" s="37" t="str">
        <f t="shared" si="31"/>
        <v/>
      </c>
      <c r="S612" s="4"/>
      <c r="T612" s="33"/>
      <c r="U612" s="33"/>
      <c r="V612" s="4"/>
      <c r="W612" s="4" t="s">
        <v>51</v>
      </c>
      <c r="X612" s="4" t="s">
        <v>51</v>
      </c>
      <c r="Y612" s="4" t="s">
        <v>123</v>
      </c>
      <c r="Z612" s="4" t="s">
        <v>123</v>
      </c>
      <c r="AA612" s="60" t="s">
        <v>52</v>
      </c>
      <c r="AB612" s="60" t="s">
        <v>397</v>
      </c>
      <c r="AC612" s="60" t="s">
        <v>123</v>
      </c>
      <c r="AD612" s="60" t="s">
        <v>123</v>
      </c>
      <c r="AE612" s="60" t="s">
        <v>123</v>
      </c>
      <c r="AF612" s="60" t="s">
        <v>123</v>
      </c>
      <c r="AG612" s="9" t="s">
        <v>123</v>
      </c>
    </row>
    <row r="613" ht="16.5" spans="1:33">
      <c r="A613" s="19" t="s">
        <v>949</v>
      </c>
      <c r="B613" s="42" t="s">
        <v>950</v>
      </c>
      <c r="C613" s="63">
        <v>72</v>
      </c>
      <c r="D613" s="64" t="s">
        <v>48</v>
      </c>
      <c r="E613" s="41"/>
      <c r="F613" s="4" t="s">
        <v>78</v>
      </c>
      <c r="G613" s="65"/>
      <c r="H613" s="65">
        <v>45322</v>
      </c>
      <c r="I613" s="65">
        <v>45524</v>
      </c>
      <c r="J613" s="66">
        <f t="shared" si="33"/>
        <v>203</v>
      </c>
      <c r="O613" s="64" t="s">
        <v>51</v>
      </c>
      <c r="P613" s="67"/>
      <c r="Q613" s="68"/>
      <c r="R613" s="69" t="str">
        <f t="shared" si="31"/>
        <v/>
      </c>
      <c r="S613" s="70"/>
      <c r="T613" s="71"/>
      <c r="U613" s="71"/>
      <c r="V613" s="70"/>
      <c r="W613" s="64" t="s">
        <v>51</v>
      </c>
      <c r="X613" s="64" t="s">
        <v>51</v>
      </c>
      <c r="Y613" s="64" t="s">
        <v>343</v>
      </c>
      <c r="Z613" s="64" t="s">
        <v>343</v>
      </c>
      <c r="AA613" s="72" t="s">
        <v>52</v>
      </c>
      <c r="AB613" s="72" t="s">
        <v>397</v>
      </c>
      <c r="AC613" s="72" t="s">
        <v>52</v>
      </c>
      <c r="AD613" s="72" t="s">
        <v>397</v>
      </c>
      <c r="AE613" s="72" t="s">
        <v>108</v>
      </c>
      <c r="AF613" s="72" t="s">
        <v>123</v>
      </c>
    </row>
    <row r="614" ht="16.5" spans="1:33">
      <c r="A614" s="19" t="s">
        <v>949</v>
      </c>
      <c r="B614" s="42" t="s">
        <v>951</v>
      </c>
      <c r="C614" s="63">
        <v>59</v>
      </c>
      <c r="D614" s="64" t="s">
        <v>54</v>
      </c>
      <c r="E614" s="41"/>
      <c r="F614" s="4" t="s">
        <v>78</v>
      </c>
      <c r="G614" s="65"/>
      <c r="H614" s="65">
        <v>45357</v>
      </c>
      <c r="I614" s="65">
        <v>45404</v>
      </c>
      <c r="J614" s="66">
        <f t="shared" si="33"/>
        <v>48</v>
      </c>
      <c r="O614" s="64" t="s">
        <v>50</v>
      </c>
      <c r="P614" s="67"/>
      <c r="Q614" s="68"/>
      <c r="R614" s="69" t="str">
        <f t="shared" si="31"/>
        <v/>
      </c>
      <c r="S614" s="70"/>
      <c r="T614" s="71"/>
      <c r="U614" s="71"/>
      <c r="V614" s="70"/>
      <c r="W614" s="64" t="s">
        <v>51</v>
      </c>
      <c r="X614" s="64" t="s">
        <v>343</v>
      </c>
      <c r="Y614" s="64" t="s">
        <v>343</v>
      </c>
      <c r="Z614" s="64" t="s">
        <v>343</v>
      </c>
      <c r="AA614" s="72" t="s">
        <v>108</v>
      </c>
      <c r="AB614" s="72" t="s">
        <v>386</v>
      </c>
      <c r="AC614" s="72" t="s">
        <v>108</v>
      </c>
      <c r="AD614" s="72" t="s">
        <v>123</v>
      </c>
      <c r="AE614" s="72" t="s">
        <v>108</v>
      </c>
      <c r="AF614" s="72" t="s">
        <v>123</v>
      </c>
      <c r="AG614" s="9" t="s">
        <v>386</v>
      </c>
    </row>
    <row r="615" ht="16.5" spans="1:33">
      <c r="A615" s="19" t="s">
        <v>949</v>
      </c>
      <c r="B615" s="42" t="s">
        <v>952</v>
      </c>
      <c r="C615" s="63">
        <v>44</v>
      </c>
      <c r="D615" s="64" t="s">
        <v>48</v>
      </c>
      <c r="E615" s="41"/>
      <c r="F615" s="4" t="s">
        <v>78</v>
      </c>
      <c r="G615" s="65"/>
      <c r="H615" s="65">
        <v>45386</v>
      </c>
      <c r="I615" s="65">
        <v>45518</v>
      </c>
      <c r="J615" s="66">
        <f t="shared" si="33"/>
        <v>133</v>
      </c>
      <c r="O615" s="64" t="s">
        <v>50</v>
      </c>
      <c r="P615" s="67"/>
      <c r="Q615" s="68"/>
      <c r="R615" s="69" t="str">
        <f t="shared" si="31"/>
        <v/>
      </c>
      <c r="S615" s="70"/>
      <c r="T615" s="71"/>
      <c r="U615" s="71"/>
      <c r="V615" s="70"/>
      <c r="W615" s="64" t="s">
        <v>51</v>
      </c>
      <c r="X615" s="64" t="s">
        <v>51</v>
      </c>
      <c r="Y615" s="64" t="s">
        <v>343</v>
      </c>
      <c r="Z615" s="64" t="s">
        <v>343</v>
      </c>
      <c r="AA615" s="72" t="s">
        <v>108</v>
      </c>
      <c r="AB615" s="72" t="s">
        <v>123</v>
      </c>
      <c r="AC615" s="72" t="s">
        <v>108</v>
      </c>
      <c r="AD615" s="72" t="s">
        <v>123</v>
      </c>
      <c r="AE615" s="72" t="s">
        <v>108</v>
      </c>
      <c r="AF615" s="72" t="s">
        <v>123</v>
      </c>
      <c r="AG615" s="9" t="s">
        <v>123</v>
      </c>
    </row>
    <row r="616" ht="16.5" spans="1:33">
      <c r="A616" s="19" t="s">
        <v>949</v>
      </c>
      <c r="B616" s="42" t="s">
        <v>953</v>
      </c>
      <c r="C616" s="63">
        <v>69</v>
      </c>
      <c r="D616" s="64" t="s">
        <v>48</v>
      </c>
      <c r="E616" s="41"/>
      <c r="F616" s="4" t="s">
        <v>78</v>
      </c>
      <c r="G616" s="65"/>
      <c r="H616" s="65">
        <v>45415</v>
      </c>
      <c r="I616" s="65">
        <v>45446</v>
      </c>
      <c r="J616" s="66">
        <f t="shared" si="33"/>
        <v>32</v>
      </c>
      <c r="O616" s="64" t="s">
        <v>50</v>
      </c>
      <c r="P616" s="67"/>
      <c r="Q616" s="68"/>
      <c r="R616" s="69" t="str">
        <f t="shared" si="31"/>
        <v/>
      </c>
      <c r="S616" s="70"/>
      <c r="T616" s="71"/>
      <c r="U616" s="71"/>
      <c r="V616" s="70"/>
      <c r="W616" s="64" t="s">
        <v>343</v>
      </c>
      <c r="X616" s="64" t="s">
        <v>343</v>
      </c>
      <c r="Y616" s="64" t="s">
        <v>343</v>
      </c>
      <c r="Z616" s="64" t="s">
        <v>343</v>
      </c>
      <c r="AA616" s="72" t="s">
        <v>108</v>
      </c>
      <c r="AB616" s="72" t="s">
        <v>123</v>
      </c>
      <c r="AC616" s="72" t="s">
        <v>108</v>
      </c>
      <c r="AD616" s="72" t="s">
        <v>123</v>
      </c>
      <c r="AE616" s="72" t="s">
        <v>108</v>
      </c>
      <c r="AF616" s="72" t="s">
        <v>123</v>
      </c>
      <c r="AG616" s="9" t="s">
        <v>123</v>
      </c>
    </row>
    <row r="617" ht="16.5" spans="1:33">
      <c r="A617" s="19" t="s">
        <v>949</v>
      </c>
      <c r="B617" s="42" t="s">
        <v>954</v>
      </c>
      <c r="C617" s="63">
        <v>35</v>
      </c>
      <c r="D617" s="64" t="s">
        <v>48</v>
      </c>
      <c r="E617" s="41"/>
      <c r="F617" s="4" t="s">
        <v>78</v>
      </c>
      <c r="G617" s="65"/>
      <c r="H617" s="65">
        <v>45668</v>
      </c>
      <c r="I617" s="65">
        <v>45867</v>
      </c>
      <c r="J617" s="66">
        <f t="shared" si="33"/>
        <v>200</v>
      </c>
      <c r="O617" s="64" t="s">
        <v>50</v>
      </c>
      <c r="P617" s="67"/>
      <c r="Q617" s="68"/>
      <c r="R617" s="69" t="str">
        <f t="shared" si="31"/>
        <v/>
      </c>
      <c r="S617" s="70"/>
      <c r="T617" s="71"/>
      <c r="U617" s="71"/>
      <c r="V617" s="70"/>
      <c r="W617" s="64" t="s">
        <v>51</v>
      </c>
      <c r="X617" s="64" t="s">
        <v>51</v>
      </c>
      <c r="Y617" s="64" t="s">
        <v>343</v>
      </c>
      <c r="Z617" s="64" t="s">
        <v>343</v>
      </c>
      <c r="AA617" s="72" t="s">
        <v>52</v>
      </c>
      <c r="AB617" s="72" t="s">
        <v>397</v>
      </c>
      <c r="AC617" s="72" t="s">
        <v>108</v>
      </c>
      <c r="AD617" s="72" t="s">
        <v>123</v>
      </c>
      <c r="AE617" s="72" t="s">
        <v>52</v>
      </c>
      <c r="AF617" s="72" t="s">
        <v>517</v>
      </c>
      <c r="AG617" s="9" t="s">
        <v>123</v>
      </c>
    </row>
    <row r="618" ht="16.5" spans="1:33">
      <c r="A618" s="19" t="s">
        <v>949</v>
      </c>
      <c r="B618" s="42" t="s">
        <v>955</v>
      </c>
      <c r="C618" s="63">
        <v>62</v>
      </c>
      <c r="D618" s="64" t="s">
        <v>48</v>
      </c>
      <c r="E618" s="41"/>
      <c r="F618" s="4" t="s">
        <v>78</v>
      </c>
      <c r="G618" s="65"/>
      <c r="H618" s="65">
        <v>45695</v>
      </c>
      <c r="I618" s="65">
        <v>45934</v>
      </c>
      <c r="J618" s="66">
        <f t="shared" si="33"/>
        <v>240</v>
      </c>
      <c r="O618" s="64" t="s">
        <v>50</v>
      </c>
      <c r="P618" s="67"/>
      <c r="Q618" s="68"/>
      <c r="R618" s="69" t="str">
        <f t="shared" si="31"/>
        <v/>
      </c>
      <c r="S618" s="70"/>
      <c r="T618" s="71"/>
      <c r="U618" s="71"/>
      <c r="V618" s="70"/>
      <c r="W618" s="64" t="s">
        <v>51</v>
      </c>
      <c r="X618" s="64" t="s">
        <v>51</v>
      </c>
      <c r="Y618" s="64" t="s">
        <v>343</v>
      </c>
      <c r="Z618" s="64" t="s">
        <v>343</v>
      </c>
      <c r="AA618" s="72" t="s">
        <v>52</v>
      </c>
      <c r="AB618" s="72" t="s">
        <v>397</v>
      </c>
      <c r="AC618" s="72" t="s">
        <v>108</v>
      </c>
      <c r="AD618" s="72" t="s">
        <v>517</v>
      </c>
      <c r="AE618" s="72" t="s">
        <v>52</v>
      </c>
      <c r="AF618" s="72" t="s">
        <v>517</v>
      </c>
    </row>
    <row r="619" ht="16.5" spans="1:33">
      <c r="A619" s="19" t="s">
        <v>949</v>
      </c>
      <c r="B619" s="42" t="s">
        <v>956</v>
      </c>
      <c r="C619" s="63">
        <v>54</v>
      </c>
      <c r="D619" s="64" t="s">
        <v>48</v>
      </c>
      <c r="E619" s="41"/>
      <c r="F619" s="4" t="s">
        <v>78</v>
      </c>
      <c r="G619" s="65"/>
      <c r="H619" s="65">
        <v>45750</v>
      </c>
      <c r="I619" s="65">
        <v>45818</v>
      </c>
      <c r="J619" s="66">
        <f t="shared" si="33"/>
        <v>69</v>
      </c>
      <c r="O619" s="64" t="s">
        <v>50</v>
      </c>
      <c r="P619" s="67"/>
      <c r="Q619" s="68"/>
      <c r="R619" s="69" t="str">
        <f t="shared" si="31"/>
        <v/>
      </c>
      <c r="S619" s="70"/>
      <c r="T619" s="71"/>
      <c r="U619" s="71"/>
      <c r="V619" s="70"/>
      <c r="W619" s="64" t="s">
        <v>50</v>
      </c>
      <c r="X619" s="64" t="s">
        <v>50</v>
      </c>
      <c r="Y619" s="64" t="s">
        <v>343</v>
      </c>
      <c r="Z619" s="64" t="s">
        <v>343</v>
      </c>
      <c r="AA619" s="72" t="s">
        <v>108</v>
      </c>
      <c r="AB619" s="72" t="s">
        <v>386</v>
      </c>
      <c r="AC619" s="72" t="s">
        <v>108</v>
      </c>
      <c r="AD619" s="72" t="s">
        <v>386</v>
      </c>
      <c r="AE619" s="72" t="s">
        <v>108</v>
      </c>
      <c r="AF619" s="72" t="s">
        <v>386</v>
      </c>
      <c r="AG619" s="9" t="s">
        <v>386</v>
      </c>
    </row>
    <row r="620" ht="16.5" spans="1:33">
      <c r="A620" s="19" t="s">
        <v>949</v>
      </c>
      <c r="B620" s="42" t="s">
        <v>957</v>
      </c>
      <c r="C620" s="63">
        <v>51</v>
      </c>
      <c r="D620" s="64" t="s">
        <v>54</v>
      </c>
      <c r="E620" s="41"/>
      <c r="F620" s="4" t="s">
        <v>64</v>
      </c>
      <c r="G620" s="65"/>
      <c r="H620" s="65">
        <v>45712</v>
      </c>
      <c r="I620" s="65">
        <v>45909</v>
      </c>
      <c r="J620" s="66">
        <f t="shared" si="33"/>
        <v>198</v>
      </c>
      <c r="O620" s="64" t="s">
        <v>50</v>
      </c>
      <c r="P620" s="67"/>
      <c r="Q620" s="68"/>
      <c r="R620" s="69" t="str">
        <f t="shared" si="31"/>
        <v/>
      </c>
      <c r="S620" s="70"/>
      <c r="T620" s="71"/>
      <c r="U620" s="71"/>
      <c r="V620" s="70"/>
      <c r="W620" s="64" t="s">
        <v>51</v>
      </c>
      <c r="X620" s="64" t="s">
        <v>51</v>
      </c>
      <c r="Y620" s="64" t="s">
        <v>343</v>
      </c>
      <c r="Z620" s="64" t="s">
        <v>343</v>
      </c>
      <c r="AA620" s="72" t="s">
        <v>52</v>
      </c>
      <c r="AB620" s="72" t="s">
        <v>397</v>
      </c>
      <c r="AC620" s="72" t="s">
        <v>108</v>
      </c>
      <c r="AD620" s="72" t="s">
        <v>397</v>
      </c>
      <c r="AE620" s="72" t="s">
        <v>52</v>
      </c>
      <c r="AF620" s="72" t="s">
        <v>517</v>
      </c>
    </row>
    <row r="621" ht="16.5" spans="1:33">
      <c r="A621" s="19" t="s">
        <v>949</v>
      </c>
      <c r="B621" s="42" t="s">
        <v>958</v>
      </c>
      <c r="C621" s="63">
        <v>27</v>
      </c>
      <c r="D621" s="64" t="s">
        <v>48</v>
      </c>
      <c r="E621" s="41"/>
      <c r="F621" s="4" t="s">
        <v>49</v>
      </c>
      <c r="G621" s="65"/>
      <c r="H621" s="65">
        <v>45139</v>
      </c>
      <c r="I621" s="65">
        <v>45440</v>
      </c>
      <c r="J621" s="66">
        <f t="shared" si="33"/>
        <v>302</v>
      </c>
      <c r="O621" s="64" t="s">
        <v>50</v>
      </c>
      <c r="P621" s="67"/>
      <c r="Q621" s="68"/>
      <c r="R621" s="69" t="str">
        <f t="shared" si="31"/>
        <v/>
      </c>
      <c r="S621" s="70"/>
      <c r="T621" s="71"/>
      <c r="U621" s="71"/>
      <c r="V621" s="70"/>
      <c r="W621" s="64" t="s">
        <v>51</v>
      </c>
      <c r="X621" s="64" t="s">
        <v>51</v>
      </c>
      <c r="Y621" s="64" t="s">
        <v>343</v>
      </c>
      <c r="Z621" s="64" t="s">
        <v>343</v>
      </c>
      <c r="AA621" s="72" t="s">
        <v>52</v>
      </c>
      <c r="AB621" s="72" t="s">
        <v>397</v>
      </c>
      <c r="AC621" s="72" t="s">
        <v>108</v>
      </c>
      <c r="AD621" s="72" t="s">
        <v>123</v>
      </c>
      <c r="AE621" s="72" t="s">
        <v>108</v>
      </c>
      <c r="AF621" s="72" t="s">
        <v>123</v>
      </c>
      <c r="AG621" s="9" t="s">
        <v>123</v>
      </c>
    </row>
    <row r="622" ht="16.5" spans="1:33">
      <c r="A622" s="19" t="s">
        <v>949</v>
      </c>
      <c r="B622" s="42" t="s">
        <v>959</v>
      </c>
      <c r="C622" s="63">
        <v>45</v>
      </c>
      <c r="D622" s="64" t="s">
        <v>48</v>
      </c>
      <c r="E622" s="41"/>
      <c r="F622" s="4" t="s">
        <v>49</v>
      </c>
      <c r="G622" s="65">
        <v>45304</v>
      </c>
      <c r="H622" s="65">
        <v>45110</v>
      </c>
      <c r="I622" s="65">
        <v>45302</v>
      </c>
      <c r="J622" s="66">
        <f t="shared" si="33"/>
        <v>193</v>
      </c>
      <c r="O622" s="64" t="s">
        <v>50</v>
      </c>
      <c r="P622" s="67"/>
      <c r="Q622" s="68"/>
      <c r="R622" s="69" t="str">
        <f t="shared" si="31"/>
        <v/>
      </c>
      <c r="S622" s="70"/>
      <c r="T622" s="71"/>
      <c r="U622" s="71"/>
      <c r="V622" s="70"/>
      <c r="W622" s="64" t="s">
        <v>51</v>
      </c>
      <c r="X622" s="64" t="s">
        <v>51</v>
      </c>
      <c r="Y622" s="64" t="s">
        <v>343</v>
      </c>
      <c r="Z622" s="64" t="s">
        <v>343</v>
      </c>
      <c r="AA622" s="72" t="s">
        <v>52</v>
      </c>
      <c r="AB622" s="72" t="s">
        <v>397</v>
      </c>
      <c r="AC622" s="72" t="s">
        <v>108</v>
      </c>
      <c r="AD622" s="72" t="s">
        <v>123</v>
      </c>
      <c r="AE622" s="72" t="s">
        <v>108</v>
      </c>
      <c r="AF622" s="72" t="s">
        <v>123</v>
      </c>
      <c r="AG622" s="9" t="s">
        <v>123</v>
      </c>
    </row>
    <row r="623" ht="16.5" spans="1:33">
      <c r="A623" s="19" t="s">
        <v>949</v>
      </c>
      <c r="B623" s="42" t="s">
        <v>960</v>
      </c>
      <c r="C623" s="63">
        <v>49</v>
      </c>
      <c r="D623" s="64" t="s">
        <v>48</v>
      </c>
      <c r="E623" s="41"/>
      <c r="F623" s="4" t="s">
        <v>49</v>
      </c>
      <c r="G623" s="65"/>
      <c r="H623" s="65">
        <v>45098</v>
      </c>
      <c r="I623" s="65">
        <v>45376</v>
      </c>
      <c r="J623" s="66">
        <f t="shared" si="33"/>
        <v>279</v>
      </c>
      <c r="O623" s="64" t="s">
        <v>50</v>
      </c>
      <c r="P623" s="67"/>
      <c r="Q623" s="68"/>
      <c r="R623" s="69" t="str">
        <f t="shared" si="31"/>
        <v/>
      </c>
      <c r="S623" s="70"/>
      <c r="T623" s="71"/>
      <c r="U623" s="71"/>
      <c r="V623" s="70"/>
      <c r="W623" s="64" t="s">
        <v>51</v>
      </c>
      <c r="X623" s="64" t="s">
        <v>51</v>
      </c>
      <c r="Y623" s="64" t="s">
        <v>51</v>
      </c>
      <c r="Z623" s="64" t="s">
        <v>51</v>
      </c>
      <c r="AA623" s="72" t="s">
        <v>52</v>
      </c>
      <c r="AB623" s="72" t="s">
        <v>397</v>
      </c>
      <c r="AC623" s="72" t="s">
        <v>52</v>
      </c>
      <c r="AD623" s="72" t="s">
        <v>397</v>
      </c>
      <c r="AE623" s="72" t="s">
        <v>52</v>
      </c>
      <c r="AF623" s="72" t="s">
        <v>397</v>
      </c>
    </row>
    <row r="624" ht="16.5" spans="1:33">
      <c r="A624" s="19" t="s">
        <v>949</v>
      </c>
      <c r="B624" s="42" t="s">
        <v>961</v>
      </c>
      <c r="C624" s="63">
        <v>31</v>
      </c>
      <c r="D624" s="64" t="s">
        <v>48</v>
      </c>
      <c r="E624" s="41"/>
      <c r="F624" s="4" t="s">
        <v>49</v>
      </c>
      <c r="G624" s="65">
        <v>45247</v>
      </c>
      <c r="H624" s="65">
        <v>45068</v>
      </c>
      <c r="I624" s="65">
        <v>45254</v>
      </c>
      <c r="J624" s="66">
        <f t="shared" si="33"/>
        <v>187</v>
      </c>
      <c r="O624" s="64" t="s">
        <v>51</v>
      </c>
      <c r="P624" s="67"/>
      <c r="Q624" s="68"/>
      <c r="R624" s="69" t="str">
        <f t="shared" si="31"/>
        <v/>
      </c>
      <c r="S624" s="70"/>
      <c r="T624" s="71"/>
      <c r="U624" s="71"/>
      <c r="V624" s="70"/>
      <c r="W624" s="64" t="s">
        <v>51</v>
      </c>
      <c r="X624" s="64" t="s">
        <v>51</v>
      </c>
      <c r="Y624" s="64" t="s">
        <v>51</v>
      </c>
      <c r="Z624" s="64" t="s">
        <v>343</v>
      </c>
      <c r="AA624" s="72" t="s">
        <v>52</v>
      </c>
      <c r="AB624" s="72" t="s">
        <v>397</v>
      </c>
      <c r="AC624" s="72" t="s">
        <v>52</v>
      </c>
      <c r="AD624" s="72" t="s">
        <v>397</v>
      </c>
      <c r="AE624" s="72" t="s">
        <v>108</v>
      </c>
      <c r="AF624" s="72" t="s">
        <v>123</v>
      </c>
    </row>
    <row r="625" ht="16.5" spans="1:33">
      <c r="A625" s="19" t="s">
        <v>949</v>
      </c>
      <c r="B625" s="42" t="s">
        <v>962</v>
      </c>
      <c r="C625" s="63">
        <v>35</v>
      </c>
      <c r="D625" s="64" t="s">
        <v>54</v>
      </c>
      <c r="E625" s="41"/>
      <c r="F625" s="4" t="s">
        <v>64</v>
      </c>
      <c r="G625" s="65"/>
      <c r="H625" s="65">
        <v>44904</v>
      </c>
      <c r="I625" s="65">
        <v>45211</v>
      </c>
      <c r="J625" s="66">
        <f t="shared" si="33"/>
        <v>308</v>
      </c>
      <c r="O625" s="64" t="s">
        <v>50</v>
      </c>
      <c r="P625" s="67"/>
      <c r="Q625" s="68"/>
      <c r="R625" s="69" t="str">
        <f t="shared" si="31"/>
        <v/>
      </c>
      <c r="S625" s="70"/>
      <c r="T625" s="71"/>
      <c r="U625" s="71"/>
      <c r="V625" s="70"/>
      <c r="W625" s="64" t="s">
        <v>51</v>
      </c>
      <c r="X625" s="64" t="s">
        <v>51</v>
      </c>
      <c r="Y625" s="64" t="s">
        <v>51</v>
      </c>
      <c r="Z625" s="64" t="s">
        <v>51</v>
      </c>
      <c r="AA625" s="72" t="s">
        <v>52</v>
      </c>
      <c r="AB625" s="72" t="s">
        <v>397</v>
      </c>
      <c r="AC625" s="72" t="s">
        <v>52</v>
      </c>
      <c r="AD625" s="72" t="s">
        <v>397</v>
      </c>
      <c r="AE625" s="72" t="s">
        <v>52</v>
      </c>
      <c r="AF625" s="72" t="s">
        <v>397</v>
      </c>
    </row>
    <row r="626" ht="16.5" spans="1:33">
      <c r="A626" s="19" t="s">
        <v>949</v>
      </c>
      <c r="B626" s="42" t="s">
        <v>963</v>
      </c>
      <c r="C626" s="63">
        <v>41</v>
      </c>
      <c r="D626" s="64" t="s">
        <v>54</v>
      </c>
      <c r="E626" s="41"/>
      <c r="F626" s="4" t="s">
        <v>49</v>
      </c>
      <c r="G626" s="65">
        <v>45258</v>
      </c>
      <c r="H626" s="65">
        <v>45085</v>
      </c>
      <c r="I626" s="65">
        <v>45361</v>
      </c>
      <c r="J626" s="66">
        <f t="shared" si="33"/>
        <v>277</v>
      </c>
      <c r="O626" s="64" t="s">
        <v>50</v>
      </c>
      <c r="P626" s="67"/>
      <c r="Q626" s="68"/>
      <c r="R626" s="69" t="str">
        <f t="shared" si="31"/>
        <v/>
      </c>
      <c r="S626" s="70"/>
      <c r="T626" s="71"/>
      <c r="U626" s="71"/>
      <c r="V626" s="70"/>
      <c r="W626" s="64" t="s">
        <v>51</v>
      </c>
      <c r="X626" s="64" t="s">
        <v>51</v>
      </c>
      <c r="Y626" s="64" t="s">
        <v>51</v>
      </c>
      <c r="Z626" s="64" t="s">
        <v>343</v>
      </c>
      <c r="AA626" s="72" t="s">
        <v>52</v>
      </c>
      <c r="AB626" s="72" t="s">
        <v>397</v>
      </c>
      <c r="AC626" s="72" t="s">
        <v>52</v>
      </c>
      <c r="AD626" s="72" t="s">
        <v>397</v>
      </c>
      <c r="AE626" s="72" t="s">
        <v>108</v>
      </c>
      <c r="AF626" s="72" t="s">
        <v>123</v>
      </c>
    </row>
    <row r="627" ht="16.5" spans="1:33">
      <c r="A627" s="19" t="s">
        <v>949</v>
      </c>
      <c r="B627" s="42" t="s">
        <v>964</v>
      </c>
      <c r="C627" s="63">
        <v>68</v>
      </c>
      <c r="D627" s="64" t="s">
        <v>48</v>
      </c>
      <c r="E627" s="41"/>
      <c r="F627" s="4" t="s">
        <v>49</v>
      </c>
      <c r="G627" s="65">
        <v>45079</v>
      </c>
      <c r="H627" s="65">
        <v>44904</v>
      </c>
      <c r="I627" s="65">
        <v>45548</v>
      </c>
      <c r="J627" s="66">
        <f t="shared" si="33"/>
        <v>645</v>
      </c>
      <c r="O627" s="64" t="s">
        <v>50</v>
      </c>
      <c r="P627" s="67"/>
      <c r="Q627" s="68"/>
      <c r="R627" s="69" t="str">
        <f t="shared" si="31"/>
        <v/>
      </c>
      <c r="S627" s="70"/>
      <c r="T627" s="71"/>
      <c r="U627" s="71"/>
      <c r="V627" s="70"/>
      <c r="W627" s="64" t="s">
        <v>51</v>
      </c>
      <c r="X627" s="64" t="s">
        <v>51</v>
      </c>
      <c r="Y627" s="64" t="s">
        <v>51</v>
      </c>
      <c r="Z627" s="64" t="s">
        <v>343</v>
      </c>
      <c r="AA627" s="72" t="s">
        <v>52</v>
      </c>
      <c r="AB627" s="72" t="s">
        <v>397</v>
      </c>
      <c r="AC627" s="72" t="s">
        <v>52</v>
      </c>
      <c r="AD627" s="72" t="s">
        <v>397</v>
      </c>
      <c r="AE627" s="72" t="s">
        <v>108</v>
      </c>
      <c r="AF627" s="72" t="s">
        <v>123</v>
      </c>
    </row>
    <row r="628" ht="16.5" spans="1:33">
      <c r="A628" s="19" t="s">
        <v>949</v>
      </c>
      <c r="B628" s="42" t="s">
        <v>965</v>
      </c>
      <c r="C628" s="63">
        <v>58</v>
      </c>
      <c r="D628" s="64" t="s">
        <v>48</v>
      </c>
      <c r="E628" s="41"/>
      <c r="F628" s="4" t="s">
        <v>49</v>
      </c>
      <c r="G628" s="65"/>
      <c r="H628" s="65">
        <v>44858</v>
      </c>
      <c r="I628" s="65">
        <v>44893</v>
      </c>
      <c r="J628" s="66">
        <f t="shared" si="33"/>
        <v>36</v>
      </c>
      <c r="O628" s="64" t="s">
        <v>50</v>
      </c>
      <c r="P628" s="67"/>
      <c r="Q628" s="68"/>
      <c r="R628" s="69" t="str">
        <f t="shared" si="31"/>
        <v/>
      </c>
      <c r="S628" s="70"/>
      <c r="T628" s="71"/>
      <c r="U628" s="71"/>
      <c r="V628" s="70"/>
      <c r="W628" s="64" t="s">
        <v>343</v>
      </c>
      <c r="X628" s="64" t="s">
        <v>343</v>
      </c>
      <c r="Y628" s="64" t="s">
        <v>343</v>
      </c>
      <c r="Z628" s="64" t="s">
        <v>343</v>
      </c>
      <c r="AA628" s="72" t="s">
        <v>108</v>
      </c>
      <c r="AB628" s="72" t="s">
        <v>123</v>
      </c>
      <c r="AC628" s="72" t="s">
        <v>108</v>
      </c>
      <c r="AD628" s="72" t="s">
        <v>123</v>
      </c>
      <c r="AE628" s="72" t="s">
        <v>108</v>
      </c>
      <c r="AF628" s="72" t="s">
        <v>123</v>
      </c>
      <c r="AG628" s="9" t="s">
        <v>123</v>
      </c>
    </row>
    <row r="629" ht="16.5" spans="1:33">
      <c r="A629" s="19" t="s">
        <v>949</v>
      </c>
      <c r="B629" s="42" t="s">
        <v>966</v>
      </c>
      <c r="C629" s="63">
        <v>59</v>
      </c>
      <c r="D629" s="64" t="s">
        <v>48</v>
      </c>
      <c r="E629" s="41"/>
      <c r="F629" s="4" t="s">
        <v>49</v>
      </c>
      <c r="G629" s="65">
        <v>45022</v>
      </c>
      <c r="H629" s="65">
        <v>44851</v>
      </c>
      <c r="I629" s="65">
        <v>45057</v>
      </c>
      <c r="J629" s="66">
        <f t="shared" si="33"/>
        <v>207</v>
      </c>
      <c r="O629" s="64" t="s">
        <v>50</v>
      </c>
      <c r="P629" s="67"/>
      <c r="Q629" s="68"/>
      <c r="R629" s="69" t="str">
        <f t="shared" si="31"/>
        <v/>
      </c>
      <c r="S629" s="70"/>
      <c r="T629" s="71"/>
      <c r="U629" s="71"/>
      <c r="V629" s="70"/>
      <c r="W629" s="64" t="s">
        <v>51</v>
      </c>
      <c r="X629" s="64" t="s">
        <v>51</v>
      </c>
      <c r="Y629" s="64" t="s">
        <v>51</v>
      </c>
      <c r="Z629" s="64" t="s">
        <v>51</v>
      </c>
      <c r="AA629" s="72" t="s">
        <v>52</v>
      </c>
      <c r="AB629" s="72" t="s">
        <v>397</v>
      </c>
      <c r="AC629" s="72" t="s">
        <v>52</v>
      </c>
      <c r="AD629" s="72" t="s">
        <v>397</v>
      </c>
      <c r="AE629" s="72" t="s">
        <v>52</v>
      </c>
      <c r="AF629" s="72" t="s">
        <v>397</v>
      </c>
    </row>
    <row r="630" ht="16.5" spans="1:33">
      <c r="A630" s="19" t="s">
        <v>949</v>
      </c>
      <c r="B630" s="42" t="s">
        <v>967</v>
      </c>
      <c r="C630" s="63">
        <v>35</v>
      </c>
      <c r="D630" s="64" t="s">
        <v>48</v>
      </c>
      <c r="E630" s="41"/>
      <c r="F630" s="4" t="s">
        <v>49</v>
      </c>
      <c r="G630" s="65">
        <v>44994</v>
      </c>
      <c r="H630" s="65">
        <v>44828</v>
      </c>
      <c r="I630" s="65">
        <v>45093</v>
      </c>
      <c r="J630" s="66">
        <f t="shared" si="33"/>
        <v>266</v>
      </c>
      <c r="O630" s="64" t="s">
        <v>50</v>
      </c>
      <c r="P630" s="67"/>
      <c r="Q630" s="68"/>
      <c r="R630" s="69" t="str">
        <f t="shared" si="31"/>
        <v/>
      </c>
      <c r="S630" s="70"/>
      <c r="T630" s="71"/>
      <c r="U630" s="71"/>
      <c r="V630" s="70"/>
      <c r="W630" s="64" t="s">
        <v>51</v>
      </c>
      <c r="X630" s="64" t="s">
        <v>51</v>
      </c>
      <c r="Y630" s="64" t="s">
        <v>51</v>
      </c>
      <c r="Z630" s="64" t="s">
        <v>51</v>
      </c>
      <c r="AA630" s="72" t="s">
        <v>52</v>
      </c>
      <c r="AB630" s="72" t="s">
        <v>397</v>
      </c>
      <c r="AC630" s="72" t="s">
        <v>52</v>
      </c>
      <c r="AD630" s="72" t="s">
        <v>397</v>
      </c>
      <c r="AE630" s="72" t="s">
        <v>52</v>
      </c>
      <c r="AF630" s="72" t="s">
        <v>397</v>
      </c>
    </row>
    <row r="631" ht="16.5" spans="1:33">
      <c r="A631" s="19" t="s">
        <v>949</v>
      </c>
      <c r="B631" s="42" t="s">
        <v>968</v>
      </c>
      <c r="C631" s="63">
        <v>29</v>
      </c>
      <c r="D631" s="64" t="s">
        <v>54</v>
      </c>
      <c r="E631" s="41"/>
      <c r="F631" s="4" t="s">
        <v>82</v>
      </c>
      <c r="G631" s="65">
        <v>44931</v>
      </c>
      <c r="H631" s="65">
        <v>44755</v>
      </c>
      <c r="I631" s="65">
        <v>45023</v>
      </c>
      <c r="J631" s="66">
        <f t="shared" si="33"/>
        <v>269</v>
      </c>
      <c r="O631" s="64" t="s">
        <v>51</v>
      </c>
      <c r="P631" s="67"/>
      <c r="Q631" s="68"/>
      <c r="R631" s="69" t="str">
        <f t="shared" si="31"/>
        <v/>
      </c>
      <c r="S631" s="70"/>
      <c r="T631" s="71"/>
      <c r="U631" s="71"/>
      <c r="V631" s="70"/>
      <c r="W631" s="64" t="s">
        <v>51</v>
      </c>
      <c r="X631" s="64" t="s">
        <v>51</v>
      </c>
      <c r="Y631" s="64" t="s">
        <v>51</v>
      </c>
      <c r="Z631" s="64" t="s">
        <v>51</v>
      </c>
      <c r="AA631" s="72" t="s">
        <v>52</v>
      </c>
      <c r="AB631" s="72" t="s">
        <v>397</v>
      </c>
      <c r="AC631" s="72" t="s">
        <v>52</v>
      </c>
      <c r="AD631" s="72" t="s">
        <v>397</v>
      </c>
      <c r="AE631" s="72" t="s">
        <v>52</v>
      </c>
      <c r="AF631" s="72" t="s">
        <v>397</v>
      </c>
    </row>
    <row r="632" ht="16.5" spans="1:33">
      <c r="A632" s="19" t="s">
        <v>949</v>
      </c>
      <c r="B632" s="42" t="s">
        <v>969</v>
      </c>
      <c r="C632" s="63">
        <v>37</v>
      </c>
      <c r="D632" s="64" t="s">
        <v>48</v>
      </c>
      <c r="E632" s="41"/>
      <c r="F632" s="4" t="s">
        <v>49</v>
      </c>
      <c r="G632" s="65">
        <v>44904</v>
      </c>
      <c r="H632" s="65">
        <v>44719</v>
      </c>
      <c r="I632" s="65">
        <v>44904</v>
      </c>
      <c r="J632" s="66">
        <f t="shared" si="33"/>
        <v>186</v>
      </c>
      <c r="O632" s="64" t="s">
        <v>50</v>
      </c>
      <c r="P632" s="67"/>
      <c r="Q632" s="68"/>
      <c r="R632" s="69" t="str">
        <f t="shared" si="31"/>
        <v/>
      </c>
      <c r="S632" s="70"/>
      <c r="T632" s="71"/>
      <c r="U632" s="71"/>
      <c r="V632" s="70"/>
      <c r="W632" s="64" t="s">
        <v>51</v>
      </c>
      <c r="X632" s="64" t="s">
        <v>51</v>
      </c>
      <c r="Y632" s="64" t="s">
        <v>51</v>
      </c>
      <c r="Z632" s="64" t="s">
        <v>51</v>
      </c>
      <c r="AA632" s="72" t="s">
        <v>52</v>
      </c>
      <c r="AB632" s="72" t="s">
        <v>397</v>
      </c>
      <c r="AC632" s="72" t="s">
        <v>52</v>
      </c>
      <c r="AD632" s="72" t="s">
        <v>397</v>
      </c>
      <c r="AE632" s="72" t="s">
        <v>52</v>
      </c>
      <c r="AF632" s="72" t="s">
        <v>397</v>
      </c>
    </row>
    <row r="633" ht="16.5" spans="1:33">
      <c r="A633" s="19" t="s">
        <v>949</v>
      </c>
      <c r="B633" s="42" t="s">
        <v>970</v>
      </c>
      <c r="C633" s="63">
        <v>40</v>
      </c>
      <c r="D633" s="64" t="s">
        <v>48</v>
      </c>
      <c r="E633" s="41"/>
      <c r="F633" s="4" t="s">
        <v>49</v>
      </c>
      <c r="G633" s="65">
        <v>44897</v>
      </c>
      <c r="H633" s="65">
        <v>44719</v>
      </c>
      <c r="I633" s="65">
        <v>44897</v>
      </c>
      <c r="J633" s="66">
        <f t="shared" si="33"/>
        <v>179</v>
      </c>
      <c r="O633" s="64" t="s">
        <v>50</v>
      </c>
      <c r="P633" s="67"/>
      <c r="Q633" s="68"/>
      <c r="R633" s="69" t="str">
        <f t="shared" si="31"/>
        <v/>
      </c>
      <c r="S633" s="70"/>
      <c r="T633" s="71"/>
      <c r="U633" s="71"/>
      <c r="V633" s="70"/>
      <c r="W633" s="64" t="s">
        <v>51</v>
      </c>
      <c r="X633" s="64" t="s">
        <v>51</v>
      </c>
      <c r="Y633" s="64" t="s">
        <v>51</v>
      </c>
      <c r="Z633" s="64" t="s">
        <v>343</v>
      </c>
      <c r="AA633" s="72" t="s">
        <v>52</v>
      </c>
      <c r="AB633" s="72" t="s">
        <v>397</v>
      </c>
      <c r="AC633" s="72" t="s">
        <v>52</v>
      </c>
      <c r="AD633" s="72" t="s">
        <v>397</v>
      </c>
      <c r="AE633" s="72" t="s">
        <v>108</v>
      </c>
      <c r="AF633" s="72" t="s">
        <v>123</v>
      </c>
    </row>
    <row r="634" ht="16.5" spans="1:33">
      <c r="A634" s="19" t="s">
        <v>971</v>
      </c>
      <c r="B634" s="4" t="s">
        <v>972</v>
      </c>
      <c r="C634" s="63">
        <v>67</v>
      </c>
      <c r="D634" s="70" t="s">
        <v>48</v>
      </c>
      <c r="E634" s="33"/>
      <c r="F634" s="4" t="s">
        <v>82</v>
      </c>
      <c r="G634" s="65"/>
      <c r="H634" s="65">
        <v>45634</v>
      </c>
      <c r="I634" s="73">
        <v>45999</v>
      </c>
      <c r="J634" s="66">
        <f t="shared" si="33"/>
        <v>366</v>
      </c>
      <c r="O634" s="64"/>
      <c r="W634" s="70" t="s">
        <v>50</v>
      </c>
      <c r="X634" s="70" t="s">
        <v>51</v>
      </c>
      <c r="Y634" s="70" t="s">
        <v>51</v>
      </c>
      <c r="Z634" s="70"/>
      <c r="AA634" s="74" t="s">
        <v>397</v>
      </c>
      <c r="AB634" s="74"/>
      <c r="AC634" s="74" t="s">
        <v>397</v>
      </c>
      <c r="AD634" s="74"/>
      <c r="AE634" s="74"/>
      <c r="AF634" s="74"/>
    </row>
    <row r="635" ht="16.5" spans="1:33">
      <c r="A635" s="19" t="s">
        <v>971</v>
      </c>
      <c r="B635" s="4" t="s">
        <v>973</v>
      </c>
      <c r="C635" s="63">
        <v>31</v>
      </c>
      <c r="D635" s="70" t="s">
        <v>54</v>
      </c>
      <c r="E635" s="33"/>
      <c r="F635" s="4" t="s">
        <v>82</v>
      </c>
      <c r="G635" s="73"/>
      <c r="H635" s="73">
        <v>45581</v>
      </c>
      <c r="I635" s="73" t="s">
        <v>123</v>
      </c>
      <c r="J635" s="66" t="e">
        <f t="shared" si="33"/>
        <v>#VALUE!</v>
      </c>
      <c r="O635" s="64"/>
      <c r="W635" s="70"/>
      <c r="X635" s="70"/>
      <c r="Y635" s="70"/>
      <c r="Z635" s="70"/>
      <c r="AA635" s="74"/>
      <c r="AB635" s="74"/>
      <c r="AC635" s="74"/>
      <c r="AD635" s="74"/>
      <c r="AE635" s="74"/>
      <c r="AF635" s="74"/>
      <c r="AG635" s="9" t="s">
        <v>123</v>
      </c>
    </row>
    <row r="636" ht="16.5" spans="1:33">
      <c r="A636" s="19" t="s">
        <v>971</v>
      </c>
      <c r="B636" s="4" t="s">
        <v>974</v>
      </c>
      <c r="C636" s="63">
        <v>55</v>
      </c>
      <c r="D636" s="70" t="s">
        <v>48</v>
      </c>
      <c r="E636" s="33"/>
      <c r="F636" s="4" t="s">
        <v>78</v>
      </c>
      <c r="G636" s="73"/>
      <c r="H636" s="73">
        <v>45596</v>
      </c>
      <c r="I636" s="73">
        <v>45961</v>
      </c>
      <c r="J636" s="66">
        <v>366</v>
      </c>
      <c r="O636" s="64"/>
      <c r="W636" s="70" t="s">
        <v>50</v>
      </c>
      <c r="X636" s="70" t="s">
        <v>51</v>
      </c>
      <c r="Y636" s="70"/>
      <c r="Z636" s="70"/>
      <c r="AA636" s="74" t="s">
        <v>397</v>
      </c>
      <c r="AB636" s="74"/>
      <c r="AC636" s="74"/>
      <c r="AD636" s="74"/>
      <c r="AE636" s="74"/>
      <c r="AF636" s="74"/>
    </row>
    <row r="637" ht="16.5" spans="1:33">
      <c r="A637" s="19" t="s">
        <v>971</v>
      </c>
      <c r="B637" s="4" t="s">
        <v>975</v>
      </c>
      <c r="C637" s="63">
        <v>74</v>
      </c>
      <c r="D637" s="70" t="s">
        <v>48</v>
      </c>
      <c r="E637" s="33"/>
      <c r="F637" s="4" t="s">
        <v>78</v>
      </c>
      <c r="G637" s="73"/>
      <c r="H637" s="73">
        <v>45562</v>
      </c>
      <c r="I637" s="73">
        <v>45927</v>
      </c>
      <c r="J637" s="66">
        <f t="shared" ref="J637:J662" si="34">IF(AND(H637&lt;&gt;"",I637&lt;&gt;""),I637-H637+1,"")</f>
        <v>366</v>
      </c>
      <c r="O637" s="64"/>
      <c r="W637" s="70" t="s">
        <v>51</v>
      </c>
      <c r="X637" s="70" t="s">
        <v>51</v>
      </c>
      <c r="Y637" s="70" t="s">
        <v>177</v>
      </c>
      <c r="Z637" s="70"/>
      <c r="AA637" s="74" t="s">
        <v>397</v>
      </c>
      <c r="AB637" s="74"/>
      <c r="AC637" s="74"/>
      <c r="AD637" s="74"/>
      <c r="AE637" s="74"/>
      <c r="AF637" s="74"/>
      <c r="AG637" s="9" t="s">
        <v>177</v>
      </c>
    </row>
    <row r="638" ht="16.5" spans="1:33">
      <c r="A638" s="19" t="s">
        <v>971</v>
      </c>
      <c r="B638" s="4" t="s">
        <v>976</v>
      </c>
      <c r="C638" s="63">
        <v>72</v>
      </c>
      <c r="D638" s="70" t="s">
        <v>54</v>
      </c>
      <c r="E638" s="33"/>
      <c r="F638" s="4" t="s">
        <v>78</v>
      </c>
      <c r="G638" s="73"/>
      <c r="H638" s="73">
        <v>45502</v>
      </c>
      <c r="I638" s="73">
        <v>45867</v>
      </c>
      <c r="J638" s="66">
        <f t="shared" si="34"/>
        <v>366</v>
      </c>
      <c r="O638" s="64"/>
      <c r="W638" s="70" t="s">
        <v>51</v>
      </c>
      <c r="X638" s="70" t="s">
        <v>51</v>
      </c>
      <c r="Y638" s="70" t="s">
        <v>51</v>
      </c>
      <c r="Z638" s="70"/>
      <c r="AA638" s="74" t="s">
        <v>397</v>
      </c>
      <c r="AB638" s="74"/>
      <c r="AC638" s="74" t="s">
        <v>397</v>
      </c>
      <c r="AD638" s="74"/>
      <c r="AE638" s="74"/>
      <c r="AF638" s="74"/>
    </row>
    <row r="639" ht="16.5" spans="1:33">
      <c r="A639" s="19" t="s">
        <v>971</v>
      </c>
      <c r="B639" s="4" t="s">
        <v>977</v>
      </c>
      <c r="C639" s="63">
        <v>72</v>
      </c>
      <c r="D639" s="70" t="s">
        <v>48</v>
      </c>
      <c r="E639" s="33"/>
      <c r="F639" s="4" t="s">
        <v>49</v>
      </c>
      <c r="G639" s="73">
        <v>45639</v>
      </c>
      <c r="H639" s="73">
        <v>45451</v>
      </c>
      <c r="I639" s="73">
        <v>45696</v>
      </c>
      <c r="J639" s="66">
        <f t="shared" si="34"/>
        <v>246</v>
      </c>
      <c r="O639" s="64"/>
      <c r="W639" s="70" t="s">
        <v>51</v>
      </c>
      <c r="X639" s="70" t="s">
        <v>51</v>
      </c>
      <c r="Y639" s="70" t="s">
        <v>51</v>
      </c>
      <c r="Z639" s="70"/>
      <c r="AA639" s="74" t="s">
        <v>397</v>
      </c>
      <c r="AB639" s="74"/>
      <c r="AC639" s="74" t="s">
        <v>397</v>
      </c>
      <c r="AD639" s="74"/>
      <c r="AE639" s="74"/>
      <c r="AF639" s="74"/>
    </row>
    <row r="640" ht="16.5" spans="1:33">
      <c r="A640" s="19" t="s">
        <v>971</v>
      </c>
      <c r="B640" s="4" t="s">
        <v>978</v>
      </c>
      <c r="C640" s="63">
        <v>67</v>
      </c>
      <c r="D640" s="70" t="s">
        <v>48</v>
      </c>
      <c r="E640" s="33"/>
      <c r="F640" s="4" t="s">
        <v>82</v>
      </c>
      <c r="G640" s="73">
        <v>45544</v>
      </c>
      <c r="H640" s="73">
        <v>45420</v>
      </c>
      <c r="I640" s="73">
        <v>45816</v>
      </c>
      <c r="J640" s="66">
        <f t="shared" si="34"/>
        <v>397</v>
      </c>
      <c r="O640" s="64"/>
      <c r="W640" s="70" t="s">
        <v>51</v>
      </c>
      <c r="X640" s="70" t="s">
        <v>51</v>
      </c>
      <c r="Y640" s="70" t="s">
        <v>51</v>
      </c>
      <c r="Z640" s="70"/>
      <c r="AA640" s="74" t="s">
        <v>397</v>
      </c>
      <c r="AB640" s="74"/>
      <c r="AC640" s="74" t="s">
        <v>397</v>
      </c>
      <c r="AD640" s="74"/>
      <c r="AE640" s="74"/>
      <c r="AF640" s="74"/>
    </row>
    <row r="641" ht="16.5" spans="1:33">
      <c r="A641" s="19" t="s">
        <v>971</v>
      </c>
      <c r="B641" s="4" t="s">
        <v>979</v>
      </c>
      <c r="C641" s="63">
        <v>55</v>
      </c>
      <c r="D641" s="70" t="s">
        <v>48</v>
      </c>
      <c r="E641" s="33"/>
      <c r="F641" s="4" t="s">
        <v>49</v>
      </c>
      <c r="G641" s="73">
        <v>45513</v>
      </c>
      <c r="H641" s="73">
        <v>45283</v>
      </c>
      <c r="I641" s="73">
        <v>45466</v>
      </c>
      <c r="J641" s="66">
        <f t="shared" si="34"/>
        <v>184</v>
      </c>
      <c r="O641" s="64"/>
      <c r="W641" s="70" t="s">
        <v>51</v>
      </c>
      <c r="X641" s="70" t="s">
        <v>51</v>
      </c>
      <c r="Y641" s="70" t="s">
        <v>51</v>
      </c>
      <c r="Z641" s="70"/>
      <c r="AA641" s="74" t="s">
        <v>397</v>
      </c>
      <c r="AB641" s="74"/>
      <c r="AC641" s="74" t="s">
        <v>397</v>
      </c>
      <c r="AD641" s="74"/>
      <c r="AE641" s="74"/>
      <c r="AF641" s="74"/>
    </row>
    <row r="642" ht="16.5" spans="1:33">
      <c r="A642" s="19" t="s">
        <v>971</v>
      </c>
      <c r="B642" s="4" t="s">
        <v>980</v>
      </c>
      <c r="C642" s="63">
        <v>60</v>
      </c>
      <c r="D642" s="70" t="s">
        <v>48</v>
      </c>
      <c r="E642" s="33"/>
      <c r="F642" s="4" t="s">
        <v>82</v>
      </c>
      <c r="G642" s="73">
        <v>45546</v>
      </c>
      <c r="H642" s="73">
        <v>45260</v>
      </c>
      <c r="I642" s="73" t="s">
        <v>123</v>
      </c>
      <c r="J642" s="66" t="e">
        <f t="shared" si="34"/>
        <v>#VALUE!</v>
      </c>
      <c r="O642" s="64"/>
      <c r="W642" s="70"/>
      <c r="X642" s="70"/>
      <c r="Y642" s="70"/>
      <c r="Z642" s="70"/>
      <c r="AA642" s="74"/>
      <c r="AB642" s="74"/>
      <c r="AC642" s="74"/>
      <c r="AD642" s="74"/>
      <c r="AE642" s="74"/>
      <c r="AF642" s="74"/>
      <c r="AG642" s="9" t="s">
        <v>123</v>
      </c>
    </row>
    <row r="643" ht="16.5" spans="1:33">
      <c r="A643" s="19" t="s">
        <v>971</v>
      </c>
      <c r="B643" s="4" t="s">
        <v>981</v>
      </c>
      <c r="C643" s="63">
        <v>43</v>
      </c>
      <c r="D643" s="70" t="s">
        <v>48</v>
      </c>
      <c r="E643" s="33"/>
      <c r="F643" s="4" t="s">
        <v>49</v>
      </c>
      <c r="G643" s="73">
        <v>45544</v>
      </c>
      <c r="H643" s="73">
        <v>45238</v>
      </c>
      <c r="I643" s="73">
        <v>45543</v>
      </c>
      <c r="J643" s="66">
        <f t="shared" si="34"/>
        <v>306</v>
      </c>
      <c r="O643" s="64"/>
      <c r="W643" s="70" t="s">
        <v>50</v>
      </c>
      <c r="X643" s="70" t="s">
        <v>51</v>
      </c>
      <c r="Y643" s="70" t="s">
        <v>51</v>
      </c>
      <c r="Z643" s="70" t="s">
        <v>51</v>
      </c>
      <c r="AA643" s="74" t="s">
        <v>397</v>
      </c>
      <c r="AB643" s="74"/>
      <c r="AC643" s="74" t="s">
        <v>397</v>
      </c>
      <c r="AD643" s="74"/>
      <c r="AE643" s="74" t="s">
        <v>397</v>
      </c>
      <c r="AF643" s="74"/>
    </row>
    <row r="644" ht="16.5" spans="1:33">
      <c r="A644" s="19" t="s">
        <v>971</v>
      </c>
      <c r="B644" s="4" t="s">
        <v>982</v>
      </c>
      <c r="C644" s="63">
        <v>40</v>
      </c>
      <c r="D644" s="70" t="s">
        <v>54</v>
      </c>
      <c r="E644" s="33"/>
      <c r="F644" s="4" t="s">
        <v>82</v>
      </c>
      <c r="G644" s="73"/>
      <c r="H644" s="73">
        <v>45063</v>
      </c>
      <c r="I644" s="73">
        <v>45429</v>
      </c>
      <c r="J644" s="66">
        <f t="shared" si="34"/>
        <v>367</v>
      </c>
      <c r="O644" s="64"/>
      <c r="W644" s="70" t="s">
        <v>51</v>
      </c>
      <c r="X644" s="70" t="s">
        <v>50</v>
      </c>
      <c r="Y644" s="70" t="s">
        <v>456</v>
      </c>
      <c r="Z644" s="70" t="s">
        <v>51</v>
      </c>
      <c r="AA644" s="74" t="s">
        <v>397</v>
      </c>
      <c r="AB644" s="74"/>
      <c r="AC644" s="74"/>
      <c r="AD644" s="74"/>
      <c r="AE644" s="74" t="s">
        <v>397</v>
      </c>
      <c r="AF644" s="74"/>
    </row>
    <row r="645" ht="16.5" spans="1:33">
      <c r="A645" s="19" t="s">
        <v>971</v>
      </c>
      <c r="B645" s="4" t="s">
        <v>983</v>
      </c>
      <c r="C645" s="63">
        <v>51</v>
      </c>
      <c r="D645" s="70" t="s">
        <v>48</v>
      </c>
      <c r="E645" s="33"/>
      <c r="F645" s="4" t="s">
        <v>64</v>
      </c>
      <c r="G645" s="73"/>
      <c r="H645" s="73">
        <v>45097</v>
      </c>
      <c r="I645" s="73">
        <v>45463</v>
      </c>
      <c r="J645" s="66">
        <f t="shared" si="34"/>
        <v>367</v>
      </c>
      <c r="O645" s="64"/>
      <c r="W645" s="70" t="s">
        <v>51</v>
      </c>
      <c r="X645" s="70" t="s">
        <v>51</v>
      </c>
      <c r="Y645" s="70" t="s">
        <v>51</v>
      </c>
      <c r="Z645" s="70" t="s">
        <v>51</v>
      </c>
      <c r="AA645" s="74" t="s">
        <v>397</v>
      </c>
      <c r="AB645" s="74"/>
      <c r="AC645" s="74" t="s">
        <v>397</v>
      </c>
      <c r="AD645" s="74"/>
      <c r="AE645" s="74" t="s">
        <v>397</v>
      </c>
      <c r="AF645" s="74"/>
    </row>
    <row r="646" ht="16.5" spans="1:33">
      <c r="A646" s="19" t="s">
        <v>971</v>
      </c>
      <c r="B646" s="4" t="s">
        <v>984</v>
      </c>
      <c r="C646" s="63">
        <v>72</v>
      </c>
      <c r="D646" s="70" t="s">
        <v>48</v>
      </c>
      <c r="E646" s="33"/>
      <c r="F646" s="4" t="s">
        <v>49</v>
      </c>
      <c r="G646" s="73">
        <v>45394</v>
      </c>
      <c r="H646" s="73">
        <v>45164</v>
      </c>
      <c r="I646" s="73">
        <v>45408</v>
      </c>
      <c r="J646" s="66">
        <f t="shared" si="34"/>
        <v>245</v>
      </c>
      <c r="O646" s="64"/>
      <c r="W646" s="70" t="s">
        <v>51</v>
      </c>
      <c r="X646" s="70" t="s">
        <v>51</v>
      </c>
      <c r="Y646" s="70" t="s">
        <v>51</v>
      </c>
      <c r="Z646" s="70" t="s">
        <v>51</v>
      </c>
      <c r="AA646" s="74" t="s">
        <v>397</v>
      </c>
      <c r="AB646" s="74"/>
      <c r="AC646" s="74" t="s">
        <v>397</v>
      </c>
      <c r="AD646" s="74"/>
      <c r="AE646" s="74" t="s">
        <v>397</v>
      </c>
      <c r="AF646" s="74"/>
    </row>
    <row r="647" ht="16.5" spans="1:33">
      <c r="A647" s="19" t="s">
        <v>971</v>
      </c>
      <c r="B647" s="4" t="s">
        <v>985</v>
      </c>
      <c r="C647" s="63">
        <v>29</v>
      </c>
      <c r="D647" s="70" t="s">
        <v>54</v>
      </c>
      <c r="E647" s="33"/>
      <c r="F647" s="4" t="s">
        <v>82</v>
      </c>
      <c r="G647" s="73"/>
      <c r="H647" s="73">
        <v>45115</v>
      </c>
      <c r="I647" s="73">
        <v>45481</v>
      </c>
      <c r="J647" s="66">
        <f t="shared" si="34"/>
        <v>367</v>
      </c>
      <c r="O647" s="64"/>
      <c r="W647" s="70" t="s">
        <v>51</v>
      </c>
      <c r="X647" s="70" t="s">
        <v>51</v>
      </c>
      <c r="Y647" s="70" t="s">
        <v>51</v>
      </c>
      <c r="Z647" s="70" t="s">
        <v>51</v>
      </c>
      <c r="AA647" s="74" t="s">
        <v>397</v>
      </c>
      <c r="AB647" s="74"/>
      <c r="AC647" s="74" t="s">
        <v>397</v>
      </c>
      <c r="AD647" s="74"/>
      <c r="AE647" s="74" t="s">
        <v>397</v>
      </c>
      <c r="AF647" s="74"/>
    </row>
    <row r="648" ht="16.5" spans="1:33">
      <c r="A648" s="19" t="s">
        <v>971</v>
      </c>
      <c r="B648" s="4" t="s">
        <v>986</v>
      </c>
      <c r="C648" s="63">
        <v>51</v>
      </c>
      <c r="D648" s="70" t="s">
        <v>54</v>
      </c>
      <c r="E648" s="33"/>
      <c r="F648" s="4" t="s">
        <v>82</v>
      </c>
      <c r="G648" s="73">
        <v>45215</v>
      </c>
      <c r="H648" s="73">
        <v>45024</v>
      </c>
      <c r="I648" s="73">
        <v>45390</v>
      </c>
      <c r="J648" s="66">
        <f t="shared" si="34"/>
        <v>367</v>
      </c>
      <c r="O648" s="64"/>
      <c r="W648" s="70" t="s">
        <v>51</v>
      </c>
      <c r="X648" s="70" t="s">
        <v>51</v>
      </c>
      <c r="Y648" s="70" t="s">
        <v>51</v>
      </c>
      <c r="Z648" s="70" t="s">
        <v>51</v>
      </c>
      <c r="AA648" s="74" t="s">
        <v>397</v>
      </c>
      <c r="AB648" s="74"/>
      <c r="AC648" s="74" t="s">
        <v>397</v>
      </c>
      <c r="AD648" s="74"/>
      <c r="AE648" s="74" t="s">
        <v>397</v>
      </c>
      <c r="AF648" s="74"/>
    </row>
    <row r="649" ht="16.5" spans="1:33">
      <c r="A649" s="19" t="s">
        <v>971</v>
      </c>
      <c r="B649" s="4" t="s">
        <v>987</v>
      </c>
      <c r="C649" s="63">
        <v>54</v>
      </c>
      <c r="D649" s="70" t="s">
        <v>48</v>
      </c>
      <c r="E649" s="33"/>
      <c r="F649" s="4" t="s">
        <v>64</v>
      </c>
      <c r="G649" s="73"/>
      <c r="H649" s="73">
        <v>45113</v>
      </c>
      <c r="I649" s="73">
        <v>45479</v>
      </c>
      <c r="J649" s="66">
        <f t="shared" si="34"/>
        <v>367</v>
      </c>
      <c r="O649" s="64"/>
      <c r="W649" s="70" t="s">
        <v>51</v>
      </c>
      <c r="X649" s="70" t="s">
        <v>51</v>
      </c>
      <c r="Y649" s="70" t="s">
        <v>51</v>
      </c>
      <c r="Z649" s="70" t="s">
        <v>51</v>
      </c>
      <c r="AA649" s="74" t="s">
        <v>397</v>
      </c>
      <c r="AB649" s="74"/>
      <c r="AC649" s="74" t="s">
        <v>397</v>
      </c>
      <c r="AD649" s="74"/>
      <c r="AE649" s="74" t="s">
        <v>397</v>
      </c>
      <c r="AF649" s="74"/>
    </row>
    <row r="650" ht="16.5" spans="1:33">
      <c r="A650" s="19" t="s">
        <v>971</v>
      </c>
      <c r="B650" s="4" t="s">
        <v>988</v>
      </c>
      <c r="C650" s="63">
        <v>56</v>
      </c>
      <c r="D650" s="70" t="s">
        <v>54</v>
      </c>
      <c r="E650" s="33"/>
      <c r="F650" s="4" t="s">
        <v>82</v>
      </c>
      <c r="G650" s="73"/>
      <c r="H650" s="73">
        <v>44912</v>
      </c>
      <c r="I650" s="73">
        <v>45277</v>
      </c>
      <c r="J650" s="66">
        <f t="shared" si="34"/>
        <v>366</v>
      </c>
      <c r="O650" s="64"/>
      <c r="W650" s="70" t="s">
        <v>51</v>
      </c>
      <c r="X650" s="70" t="s">
        <v>51</v>
      </c>
      <c r="Y650" s="70" t="s">
        <v>51</v>
      </c>
      <c r="Z650" s="70" t="s">
        <v>51</v>
      </c>
      <c r="AA650" s="74" t="s">
        <v>397</v>
      </c>
      <c r="AB650" s="74"/>
      <c r="AC650" s="74" t="s">
        <v>397</v>
      </c>
      <c r="AD650" s="74"/>
      <c r="AE650" s="74" t="s">
        <v>397</v>
      </c>
      <c r="AF650" s="74"/>
    </row>
    <row r="651" ht="16.5" spans="1:33">
      <c r="A651" s="19" t="s">
        <v>971</v>
      </c>
      <c r="B651" s="4" t="s">
        <v>989</v>
      </c>
      <c r="C651" s="63">
        <v>64</v>
      </c>
      <c r="D651" s="70" t="s">
        <v>48</v>
      </c>
      <c r="E651" s="33"/>
      <c r="F651" s="4" t="s">
        <v>64</v>
      </c>
      <c r="G651" s="73"/>
      <c r="H651" s="73" t="s">
        <v>990</v>
      </c>
      <c r="I651" s="73" t="s">
        <v>123</v>
      </c>
      <c r="J651" s="66" t="e">
        <f t="shared" si="34"/>
        <v>#VALUE!</v>
      </c>
      <c r="O651" s="64"/>
      <c r="W651" s="70"/>
      <c r="X651" s="70"/>
      <c r="Y651" s="70"/>
      <c r="Z651" s="70"/>
      <c r="AA651" s="74"/>
      <c r="AB651" s="74"/>
      <c r="AC651" s="74"/>
      <c r="AD651" s="74"/>
      <c r="AE651" s="74"/>
      <c r="AF651" s="74"/>
      <c r="AG651" s="9" t="s">
        <v>123</v>
      </c>
    </row>
    <row r="652" ht="16.5" spans="1:33">
      <c r="A652" s="19" t="s">
        <v>971</v>
      </c>
      <c r="B652" s="4" t="s">
        <v>991</v>
      </c>
      <c r="C652" s="63">
        <v>54</v>
      </c>
      <c r="D652" s="70" t="s">
        <v>48</v>
      </c>
      <c r="E652" s="33"/>
      <c r="F652" s="4" t="s">
        <v>82</v>
      </c>
      <c r="G652" s="73">
        <v>45169</v>
      </c>
      <c r="H652" s="73">
        <v>45178</v>
      </c>
      <c r="I652" s="73">
        <v>45544</v>
      </c>
      <c r="J652" s="66">
        <f t="shared" si="34"/>
        <v>367</v>
      </c>
      <c r="O652" s="64"/>
      <c r="W652" s="70" t="s">
        <v>51</v>
      </c>
      <c r="X652" s="70" t="s">
        <v>51</v>
      </c>
      <c r="Y652" s="70" t="s">
        <v>51</v>
      </c>
      <c r="Z652" s="70" t="s">
        <v>51</v>
      </c>
      <c r="AA652" s="74" t="s">
        <v>397</v>
      </c>
      <c r="AB652" s="74"/>
      <c r="AC652" s="74" t="s">
        <v>397</v>
      </c>
      <c r="AD652" s="74"/>
      <c r="AE652" s="74" t="s">
        <v>397</v>
      </c>
      <c r="AF652" s="74"/>
    </row>
    <row r="653" ht="16.5" spans="1:33">
      <c r="A653" s="19" t="s">
        <v>971</v>
      </c>
      <c r="B653" s="4" t="s">
        <v>992</v>
      </c>
      <c r="C653" s="63">
        <v>27</v>
      </c>
      <c r="D653" s="70" t="s">
        <v>54</v>
      </c>
      <c r="E653" s="33"/>
      <c r="F653" s="4" t="s">
        <v>82</v>
      </c>
      <c r="G653" s="73">
        <v>45169</v>
      </c>
      <c r="H653" s="73">
        <v>44966</v>
      </c>
      <c r="I653" s="73">
        <v>45331</v>
      </c>
      <c r="J653" s="66">
        <f t="shared" si="34"/>
        <v>366</v>
      </c>
      <c r="O653" s="64"/>
      <c r="W653" s="70" t="s">
        <v>50</v>
      </c>
      <c r="X653" s="70" t="s">
        <v>51</v>
      </c>
      <c r="Y653" s="70" t="s">
        <v>51</v>
      </c>
      <c r="Z653" s="70" t="s">
        <v>51</v>
      </c>
      <c r="AA653" s="74" t="s">
        <v>397</v>
      </c>
      <c r="AB653" s="74"/>
      <c r="AC653" s="74" t="s">
        <v>397</v>
      </c>
      <c r="AD653" s="74"/>
      <c r="AE653" s="74" t="s">
        <v>397</v>
      </c>
      <c r="AF653" s="74"/>
    </row>
    <row r="654" ht="16.5" spans="1:33">
      <c r="A654" s="19" t="s">
        <v>971</v>
      </c>
      <c r="B654" s="4" t="s">
        <v>993</v>
      </c>
      <c r="C654" s="63">
        <v>31</v>
      </c>
      <c r="D654" s="70" t="s">
        <v>54</v>
      </c>
      <c r="E654" s="33"/>
      <c r="F654" s="4" t="s">
        <v>49</v>
      </c>
      <c r="G654" s="73">
        <v>45050</v>
      </c>
      <c r="H654" s="73">
        <v>44894</v>
      </c>
      <c r="I654" s="73">
        <v>45075</v>
      </c>
      <c r="J654" s="66">
        <f t="shared" si="34"/>
        <v>182</v>
      </c>
      <c r="O654" s="64"/>
      <c r="W654" s="70" t="s">
        <v>51</v>
      </c>
      <c r="X654" s="70" t="s">
        <v>51</v>
      </c>
      <c r="Y654" s="70" t="s">
        <v>51</v>
      </c>
      <c r="Z654" s="70" t="s">
        <v>51</v>
      </c>
      <c r="AA654" s="74" t="s">
        <v>397</v>
      </c>
      <c r="AB654" s="74"/>
      <c r="AC654" s="74" t="s">
        <v>397</v>
      </c>
      <c r="AD654" s="74"/>
      <c r="AE654" s="74" t="s">
        <v>397</v>
      </c>
      <c r="AF654" s="74"/>
    </row>
    <row r="655" ht="16.5" spans="1:33">
      <c r="A655" s="19" t="s">
        <v>971</v>
      </c>
      <c r="B655" s="4" t="s">
        <v>994</v>
      </c>
      <c r="C655" s="63">
        <v>28</v>
      </c>
      <c r="D655" s="70" t="s">
        <v>48</v>
      </c>
      <c r="E655" s="33"/>
      <c r="F655" s="4" t="s">
        <v>64</v>
      </c>
      <c r="G655" s="73"/>
      <c r="H655" s="73">
        <v>44986</v>
      </c>
      <c r="I655" s="73">
        <v>45231</v>
      </c>
      <c r="J655" s="66">
        <f t="shared" si="34"/>
        <v>246</v>
      </c>
      <c r="O655" s="64"/>
      <c r="W655" s="70"/>
      <c r="X655" s="70"/>
      <c r="Y655" s="70"/>
      <c r="Z655" s="70"/>
      <c r="AA655" s="74"/>
      <c r="AB655" s="74"/>
      <c r="AC655" s="74"/>
      <c r="AD655" s="74"/>
      <c r="AE655" s="74"/>
      <c r="AF655" s="74"/>
    </row>
    <row r="656" ht="16.5" spans="1:33">
      <c r="A656" s="19" t="s">
        <v>971</v>
      </c>
      <c r="B656" s="4" t="s">
        <v>995</v>
      </c>
      <c r="C656" s="63">
        <v>29</v>
      </c>
      <c r="D656" s="70" t="s">
        <v>48</v>
      </c>
      <c r="E656" s="33"/>
      <c r="F656" s="4" t="s">
        <v>49</v>
      </c>
      <c r="G656" s="73">
        <v>45050</v>
      </c>
      <c r="H656" s="73">
        <v>44860</v>
      </c>
      <c r="I656" s="73">
        <v>45072</v>
      </c>
      <c r="J656" s="66">
        <f t="shared" si="34"/>
        <v>213</v>
      </c>
      <c r="O656" s="64"/>
      <c r="W656" s="70" t="s">
        <v>51</v>
      </c>
      <c r="X656" s="70" t="s">
        <v>51</v>
      </c>
      <c r="Y656" s="70" t="s">
        <v>51</v>
      </c>
      <c r="Z656" s="70" t="s">
        <v>51</v>
      </c>
      <c r="AA656" s="74" t="s">
        <v>397</v>
      </c>
      <c r="AB656" s="74"/>
      <c r="AC656" s="74" t="s">
        <v>397</v>
      </c>
      <c r="AD656" s="74"/>
      <c r="AE656" s="74" t="s">
        <v>397</v>
      </c>
      <c r="AF656" s="74"/>
    </row>
    <row r="657" ht="16.5" spans="1:33">
      <c r="A657" s="19" t="s">
        <v>971</v>
      </c>
      <c r="B657" s="4" t="s">
        <v>996</v>
      </c>
      <c r="C657" s="63">
        <v>52</v>
      </c>
      <c r="D657" s="70" t="s">
        <v>48</v>
      </c>
      <c r="E657" s="33"/>
      <c r="F657" s="4" t="s">
        <v>49</v>
      </c>
      <c r="G657" s="73"/>
      <c r="H657" s="73"/>
      <c r="I657" s="73" t="s">
        <v>177</v>
      </c>
      <c r="J657" s="66" t="str">
        <f t="shared" si="34"/>
        <v/>
      </c>
      <c r="O657" s="64"/>
      <c r="W657" s="70"/>
      <c r="X657" s="70"/>
      <c r="Y657" s="70"/>
      <c r="Z657" s="70"/>
      <c r="AA657" s="74"/>
      <c r="AB657" s="74"/>
      <c r="AC657" s="74"/>
      <c r="AD657" s="74"/>
      <c r="AE657" s="74"/>
      <c r="AF657" s="74"/>
      <c r="AG657" s="9" t="s">
        <v>177</v>
      </c>
    </row>
    <row r="658" ht="16.5" spans="1:33">
      <c r="A658" s="19" t="s">
        <v>971</v>
      </c>
      <c r="B658" s="4" t="s">
        <v>997</v>
      </c>
      <c r="C658" s="63">
        <v>70</v>
      </c>
      <c r="D658" s="70" t="s">
        <v>48</v>
      </c>
      <c r="E658" s="33"/>
      <c r="F658" s="4" t="s">
        <v>82</v>
      </c>
      <c r="G658" s="73"/>
      <c r="H658" s="73">
        <v>44796</v>
      </c>
      <c r="I658" s="73">
        <v>45161</v>
      </c>
      <c r="J658" s="66">
        <f t="shared" si="34"/>
        <v>366</v>
      </c>
      <c r="O658" s="64"/>
      <c r="W658" s="70" t="s">
        <v>50</v>
      </c>
      <c r="X658" s="70" t="s">
        <v>51</v>
      </c>
      <c r="Y658" s="70" t="s">
        <v>51</v>
      </c>
      <c r="Z658" s="70" t="s">
        <v>51</v>
      </c>
      <c r="AA658" s="74" t="s">
        <v>397</v>
      </c>
      <c r="AB658" s="74"/>
      <c r="AC658" s="74" t="s">
        <v>397</v>
      </c>
      <c r="AD658" s="74"/>
      <c r="AE658" s="74" t="s">
        <v>397</v>
      </c>
      <c r="AF658" s="74"/>
    </row>
    <row r="659" ht="16.5" spans="1:33">
      <c r="A659" s="19" t="s">
        <v>971</v>
      </c>
      <c r="B659" s="4" t="s">
        <v>998</v>
      </c>
      <c r="C659" s="63">
        <v>50</v>
      </c>
      <c r="D659" s="70" t="s">
        <v>54</v>
      </c>
      <c r="E659" s="33"/>
      <c r="F659" s="4" t="s">
        <v>49</v>
      </c>
      <c r="G659" s="73">
        <v>44958</v>
      </c>
      <c r="H659" s="73">
        <v>44772</v>
      </c>
      <c r="I659" s="73">
        <v>45015</v>
      </c>
      <c r="J659" s="66">
        <f t="shared" si="34"/>
        <v>244</v>
      </c>
      <c r="O659" s="64"/>
      <c r="W659" s="70" t="s">
        <v>51</v>
      </c>
      <c r="X659" s="70" t="s">
        <v>51</v>
      </c>
      <c r="Y659" s="70" t="s">
        <v>51</v>
      </c>
      <c r="Z659" s="70" t="s">
        <v>51</v>
      </c>
      <c r="AA659" s="74" t="s">
        <v>397</v>
      </c>
      <c r="AB659" s="74"/>
      <c r="AC659" s="74" t="s">
        <v>397</v>
      </c>
      <c r="AD659" s="74"/>
      <c r="AE659" s="74" t="s">
        <v>397</v>
      </c>
      <c r="AF659" s="74"/>
    </row>
    <row r="660" ht="16.5" spans="1:33">
      <c r="A660" s="19" t="s">
        <v>971</v>
      </c>
      <c r="B660" s="4" t="s">
        <v>999</v>
      </c>
      <c r="C660" s="63">
        <v>34</v>
      </c>
      <c r="D660" s="70" t="s">
        <v>48</v>
      </c>
      <c r="E660" s="33"/>
      <c r="F660" s="4" t="s">
        <v>82</v>
      </c>
      <c r="G660" s="73"/>
      <c r="H660" s="73">
        <v>44719</v>
      </c>
      <c r="I660" s="73">
        <v>45084</v>
      </c>
      <c r="J660" s="66">
        <f t="shared" si="34"/>
        <v>366</v>
      </c>
      <c r="O660" s="64"/>
      <c r="W660" s="70" t="s">
        <v>51</v>
      </c>
      <c r="X660" s="70" t="s">
        <v>51</v>
      </c>
      <c r="Y660" s="70" t="s">
        <v>51</v>
      </c>
      <c r="Z660" s="70" t="s">
        <v>51</v>
      </c>
      <c r="AA660" s="74" t="s">
        <v>397</v>
      </c>
      <c r="AB660" s="74"/>
      <c r="AC660" s="74" t="s">
        <v>397</v>
      </c>
      <c r="AD660" s="74"/>
      <c r="AE660" s="74" t="s">
        <v>397</v>
      </c>
      <c r="AF660" s="74"/>
    </row>
    <row r="661" ht="16.5" spans="1:33">
      <c r="A661" s="19" t="s">
        <v>971</v>
      </c>
      <c r="B661" s="4" t="s">
        <v>1000</v>
      </c>
      <c r="C661" s="63">
        <v>21</v>
      </c>
      <c r="D661" s="70" t="s">
        <v>48</v>
      </c>
      <c r="E661" s="33"/>
      <c r="F661" s="4" t="s">
        <v>82</v>
      </c>
      <c r="G661" s="73"/>
      <c r="H661" s="73"/>
      <c r="I661" s="73" t="s">
        <v>123</v>
      </c>
      <c r="J661" s="66" t="str">
        <f t="shared" si="34"/>
        <v/>
      </c>
      <c r="O661" s="64"/>
      <c r="W661" s="70"/>
      <c r="X661" s="70"/>
      <c r="Y661" s="70"/>
      <c r="Z661" s="70"/>
      <c r="AA661" s="74"/>
      <c r="AB661" s="74"/>
      <c r="AC661" s="74"/>
      <c r="AD661" s="74"/>
      <c r="AE661" s="74"/>
      <c r="AF661" s="74"/>
      <c r="AG661" s="9" t="s">
        <v>123</v>
      </c>
    </row>
    <row r="662" ht="30" spans="1:33">
      <c r="A662" s="19" t="s">
        <v>1001</v>
      </c>
      <c r="B662" s="4" t="s">
        <v>1002</v>
      </c>
      <c r="C662" s="63">
        <v>26</v>
      </c>
      <c r="D662" s="70" t="s">
        <v>48</v>
      </c>
      <c r="E662" s="33"/>
      <c r="F662" s="4" t="s">
        <v>1003</v>
      </c>
      <c r="G662" s="65"/>
      <c r="H662" s="65">
        <v>45085</v>
      </c>
      <c r="I662" s="65">
        <v>45656</v>
      </c>
      <c r="J662" s="66">
        <f t="shared" si="34"/>
        <v>572</v>
      </c>
      <c r="O662" s="64" t="s">
        <v>51</v>
      </c>
      <c r="P662" s="67"/>
      <c r="Q662" s="75"/>
      <c r="R662" s="69" t="str">
        <f t="shared" ref="R662:R725" si="35">IF(AND(P662&lt;&gt;"",Q662&lt;&gt;""),P662/(Q662/100)^2,"")</f>
        <v/>
      </c>
      <c r="S662" s="70" t="s">
        <v>51</v>
      </c>
      <c r="T662" s="76"/>
      <c r="U662" s="76"/>
      <c r="V662" s="70" t="s">
        <v>51</v>
      </c>
      <c r="W662" s="70" t="s">
        <v>51</v>
      </c>
      <c r="X662" s="70" t="s">
        <v>51</v>
      </c>
      <c r="Y662" s="70" t="s">
        <v>51</v>
      </c>
      <c r="Z662" s="70" t="s">
        <v>51</v>
      </c>
      <c r="AA662" s="74" t="s">
        <v>52</v>
      </c>
      <c r="AB662" s="74" t="s">
        <v>397</v>
      </c>
      <c r="AC662" s="74" t="s">
        <v>52</v>
      </c>
      <c r="AD662" s="74" t="s">
        <v>397</v>
      </c>
      <c r="AE662" s="74" t="s">
        <v>52</v>
      </c>
      <c r="AF662" s="74" t="s">
        <v>397</v>
      </c>
    </row>
    <row r="663" ht="30" spans="1:33">
      <c r="A663" s="19" t="s">
        <v>1001</v>
      </c>
      <c r="B663" s="4" t="s">
        <v>1004</v>
      </c>
      <c r="C663" s="63">
        <v>37</v>
      </c>
      <c r="D663" s="70" t="s">
        <v>54</v>
      </c>
      <c r="E663" s="33"/>
      <c r="F663" s="4" t="s">
        <v>1005</v>
      </c>
      <c r="G663" s="65"/>
      <c r="H663" s="65">
        <v>45008</v>
      </c>
      <c r="I663" s="65">
        <v>45552</v>
      </c>
      <c r="J663" s="66">
        <f t="shared" ref="J663:J704" si="36">IF(AND(H663&lt;&gt;"",I663&lt;&gt;""),I663-H663+1,"")</f>
        <v>545</v>
      </c>
      <c r="O663" s="64" t="s">
        <v>50</v>
      </c>
      <c r="P663" s="67"/>
      <c r="Q663" s="75"/>
      <c r="R663" s="69" t="str">
        <f t="shared" si="35"/>
        <v/>
      </c>
      <c r="S663" s="70" t="s">
        <v>51</v>
      </c>
      <c r="T663" s="76"/>
      <c r="U663" s="76"/>
      <c r="V663" s="70" t="s">
        <v>51</v>
      </c>
      <c r="W663" s="70" t="s">
        <v>51</v>
      </c>
      <c r="X663" s="70" t="s">
        <v>51</v>
      </c>
      <c r="Y663" s="70" t="s">
        <v>51</v>
      </c>
      <c r="Z663" s="70" t="s">
        <v>51</v>
      </c>
      <c r="AA663" s="74" t="s">
        <v>52</v>
      </c>
      <c r="AB663" s="74" t="s">
        <v>397</v>
      </c>
      <c r="AC663" s="74" t="s">
        <v>52</v>
      </c>
      <c r="AD663" s="74" t="s">
        <v>397</v>
      </c>
      <c r="AE663" s="74" t="s">
        <v>52</v>
      </c>
      <c r="AF663" s="74" t="s">
        <v>397</v>
      </c>
    </row>
    <row r="664" ht="60" spans="1:33">
      <c r="A664" s="19" t="s">
        <v>1001</v>
      </c>
      <c r="B664" s="4" t="s">
        <v>1006</v>
      </c>
      <c r="C664" s="63">
        <v>33</v>
      </c>
      <c r="D664" s="70" t="s">
        <v>48</v>
      </c>
      <c r="E664" s="33"/>
      <c r="F664" s="4" t="s">
        <v>1007</v>
      </c>
      <c r="G664" s="65"/>
      <c r="H664" s="65">
        <v>44995</v>
      </c>
      <c r="I664" s="65">
        <v>45539</v>
      </c>
      <c r="J664" s="66">
        <f t="shared" si="36"/>
        <v>545</v>
      </c>
      <c r="O664" s="64" t="s">
        <v>51</v>
      </c>
      <c r="P664" s="67"/>
      <c r="Q664" s="75"/>
      <c r="R664" s="69" t="str">
        <f t="shared" si="35"/>
        <v/>
      </c>
      <c r="S664" s="70" t="s">
        <v>51</v>
      </c>
      <c r="T664" s="76"/>
      <c r="U664" s="76"/>
      <c r="V664" s="70" t="s">
        <v>343</v>
      </c>
      <c r="W664" s="70" t="s">
        <v>343</v>
      </c>
      <c r="X664" s="70" t="s">
        <v>51</v>
      </c>
      <c r="Y664" s="70" t="s">
        <v>343</v>
      </c>
      <c r="Z664" s="70" t="s">
        <v>343</v>
      </c>
      <c r="AA664" s="74" t="s">
        <v>52</v>
      </c>
      <c r="AB664" s="74" t="s">
        <v>397</v>
      </c>
      <c r="AC664" s="74" t="s">
        <v>108</v>
      </c>
      <c r="AD664" s="74" t="s">
        <v>123</v>
      </c>
      <c r="AE664" s="74" t="s">
        <v>108</v>
      </c>
      <c r="AF664" s="74" t="s">
        <v>123</v>
      </c>
      <c r="AG664" s="9" t="s">
        <v>123</v>
      </c>
    </row>
    <row r="665" ht="45" spans="1:33">
      <c r="A665" s="19" t="s">
        <v>1001</v>
      </c>
      <c r="B665" s="4" t="s">
        <v>1008</v>
      </c>
      <c r="C665" s="63">
        <v>66</v>
      </c>
      <c r="D665" s="70" t="s">
        <v>48</v>
      </c>
      <c r="E665" s="33"/>
      <c r="F665" s="4" t="s">
        <v>1009</v>
      </c>
      <c r="G665" s="65"/>
      <c r="H665" s="65">
        <v>44996</v>
      </c>
      <c r="I665" s="65">
        <v>45595</v>
      </c>
      <c r="J665" s="66">
        <f t="shared" si="36"/>
        <v>600</v>
      </c>
      <c r="O665" s="64" t="s">
        <v>50</v>
      </c>
      <c r="P665" s="67"/>
      <c r="Q665" s="75"/>
      <c r="R665" s="69" t="str">
        <f t="shared" si="35"/>
        <v/>
      </c>
      <c r="S665" s="70" t="s">
        <v>51</v>
      </c>
      <c r="T665" s="76"/>
      <c r="U665" s="76"/>
      <c r="V665" s="70" t="s">
        <v>50</v>
      </c>
      <c r="W665" s="70" t="s">
        <v>50</v>
      </c>
      <c r="X665" s="70" t="s">
        <v>51</v>
      </c>
      <c r="Y665" s="70" t="s">
        <v>343</v>
      </c>
      <c r="Z665" s="70" t="s">
        <v>343</v>
      </c>
      <c r="AA665" s="74" t="s">
        <v>52</v>
      </c>
      <c r="AB665" s="74" t="s">
        <v>397</v>
      </c>
      <c r="AC665" s="74" t="s">
        <v>108</v>
      </c>
      <c r="AD665" s="74" t="s">
        <v>123</v>
      </c>
      <c r="AE665" s="74" t="s">
        <v>108</v>
      </c>
      <c r="AF665" s="74" t="s">
        <v>123</v>
      </c>
      <c r="AG665" s="9" t="s">
        <v>123</v>
      </c>
    </row>
    <row r="666" ht="30" spans="1:33">
      <c r="A666" s="19" t="s">
        <v>1001</v>
      </c>
      <c r="B666" s="4" t="s">
        <v>1010</v>
      </c>
      <c r="C666" s="63">
        <v>46</v>
      </c>
      <c r="D666" s="70" t="s">
        <v>48</v>
      </c>
      <c r="E666" s="33"/>
      <c r="F666" s="4" t="s">
        <v>1011</v>
      </c>
      <c r="G666" s="65"/>
      <c r="H666" s="65">
        <v>44993</v>
      </c>
      <c r="I666" s="65">
        <v>45576</v>
      </c>
      <c r="J666" s="66">
        <f t="shared" si="36"/>
        <v>584</v>
      </c>
      <c r="O666" s="64" t="s">
        <v>50</v>
      </c>
      <c r="P666" s="67"/>
      <c r="Q666" s="75"/>
      <c r="R666" s="69" t="str">
        <f t="shared" si="35"/>
        <v/>
      </c>
      <c r="S666" s="70" t="s">
        <v>51</v>
      </c>
      <c r="T666" s="76"/>
      <c r="U666" s="76"/>
      <c r="V666" s="70" t="s">
        <v>51</v>
      </c>
      <c r="W666" s="70" t="s">
        <v>51</v>
      </c>
      <c r="X666" s="70" t="s">
        <v>51</v>
      </c>
      <c r="Y666" s="70" t="s">
        <v>51</v>
      </c>
      <c r="Z666" s="70" t="s">
        <v>343</v>
      </c>
      <c r="AA666" s="74" t="s">
        <v>52</v>
      </c>
      <c r="AB666" s="74" t="s">
        <v>397</v>
      </c>
      <c r="AC666" s="74" t="s">
        <v>52</v>
      </c>
      <c r="AD666" s="74" t="s">
        <v>397</v>
      </c>
      <c r="AE666" s="74" t="s">
        <v>108</v>
      </c>
      <c r="AF666" s="74" t="s">
        <v>123</v>
      </c>
    </row>
    <row r="667" ht="30" spans="1:33">
      <c r="A667" s="19" t="s">
        <v>1001</v>
      </c>
      <c r="B667" s="4" t="s">
        <v>1012</v>
      </c>
      <c r="C667" s="63">
        <v>23</v>
      </c>
      <c r="D667" s="70" t="s">
        <v>48</v>
      </c>
      <c r="E667" s="33"/>
      <c r="F667" s="4" t="s">
        <v>1013</v>
      </c>
      <c r="G667" s="65"/>
      <c r="H667" s="65">
        <v>44984</v>
      </c>
      <c r="I667" s="65">
        <v>45573</v>
      </c>
      <c r="J667" s="66">
        <f t="shared" si="36"/>
        <v>590</v>
      </c>
      <c r="O667" s="70" t="s">
        <v>51</v>
      </c>
      <c r="P667" s="67"/>
      <c r="Q667" s="75"/>
      <c r="R667" s="69" t="str">
        <f t="shared" si="35"/>
        <v/>
      </c>
      <c r="S667" s="70" t="s">
        <v>51</v>
      </c>
      <c r="T667" s="76"/>
      <c r="U667" s="76"/>
      <c r="V667" s="70" t="s">
        <v>51</v>
      </c>
      <c r="W667" s="70" t="s">
        <v>51</v>
      </c>
      <c r="X667" s="70" t="s">
        <v>51</v>
      </c>
      <c r="Y667" s="70" t="s">
        <v>51</v>
      </c>
      <c r="Z667" s="70" t="s">
        <v>343</v>
      </c>
      <c r="AA667" s="74" t="s">
        <v>52</v>
      </c>
      <c r="AB667" s="74" t="s">
        <v>397</v>
      </c>
      <c r="AC667" s="74" t="s">
        <v>52</v>
      </c>
      <c r="AD667" s="74" t="s">
        <v>397</v>
      </c>
      <c r="AE667" s="74" t="s">
        <v>108</v>
      </c>
      <c r="AF667" s="74" t="s">
        <v>123</v>
      </c>
    </row>
    <row r="668" ht="45" spans="1:33">
      <c r="A668" s="19" t="s">
        <v>1001</v>
      </c>
      <c r="B668" s="4" t="s">
        <v>1014</v>
      </c>
      <c r="C668" s="63">
        <v>25</v>
      </c>
      <c r="D668" s="70" t="s">
        <v>48</v>
      </c>
      <c r="E668" s="33"/>
      <c r="F668" s="4" t="s">
        <v>1015</v>
      </c>
      <c r="G668" s="65"/>
      <c r="H668" s="65">
        <v>44985</v>
      </c>
      <c r="I668" s="65">
        <v>45532</v>
      </c>
      <c r="J668" s="66">
        <f t="shared" si="36"/>
        <v>548</v>
      </c>
      <c r="O668" s="70" t="s">
        <v>50</v>
      </c>
      <c r="P668" s="67"/>
      <c r="Q668" s="75"/>
      <c r="R668" s="69" t="str">
        <f t="shared" si="35"/>
        <v/>
      </c>
      <c r="S668" s="70" t="s">
        <v>51</v>
      </c>
      <c r="T668" s="76"/>
      <c r="U668" s="76"/>
      <c r="V668" s="70" t="s">
        <v>51</v>
      </c>
      <c r="W668" s="70" t="s">
        <v>51</v>
      </c>
      <c r="X668" s="70" t="s">
        <v>51</v>
      </c>
      <c r="Y668" s="70" t="s">
        <v>51</v>
      </c>
      <c r="Z668" s="70" t="s">
        <v>51</v>
      </c>
      <c r="AA668" s="74" t="s">
        <v>52</v>
      </c>
      <c r="AB668" s="74" t="s">
        <v>397</v>
      </c>
      <c r="AC668" s="74" t="s">
        <v>52</v>
      </c>
      <c r="AD668" s="74" t="s">
        <v>397</v>
      </c>
      <c r="AE668" s="74" t="s">
        <v>52</v>
      </c>
      <c r="AF668" s="74" t="s">
        <v>397</v>
      </c>
    </row>
    <row r="669" ht="45" spans="1:33">
      <c r="A669" s="19" t="s">
        <v>1001</v>
      </c>
      <c r="B669" s="4" t="s">
        <v>1016</v>
      </c>
      <c r="C669" s="63">
        <v>49</v>
      </c>
      <c r="D669" s="70" t="s">
        <v>48</v>
      </c>
      <c r="E669" s="33"/>
      <c r="F669" s="4" t="s">
        <v>1017</v>
      </c>
      <c r="G669" s="65"/>
      <c r="H669" s="65">
        <v>44980</v>
      </c>
      <c r="I669" s="65">
        <v>45560</v>
      </c>
      <c r="J669" s="66">
        <f t="shared" si="36"/>
        <v>581</v>
      </c>
      <c r="O669" s="70" t="s">
        <v>50</v>
      </c>
      <c r="P669" s="67"/>
      <c r="Q669" s="75"/>
      <c r="R669" s="69" t="str">
        <f t="shared" si="35"/>
        <v/>
      </c>
      <c r="S669" s="70" t="s">
        <v>51</v>
      </c>
      <c r="T669" s="76"/>
      <c r="U669" s="76"/>
      <c r="V669" s="70" t="s">
        <v>51</v>
      </c>
      <c r="W669" s="70" t="s">
        <v>51</v>
      </c>
      <c r="X669" s="70" t="s">
        <v>51</v>
      </c>
      <c r="Y669" s="70" t="s">
        <v>51</v>
      </c>
      <c r="Z669" s="70" t="s">
        <v>343</v>
      </c>
      <c r="AA669" s="74" t="s">
        <v>52</v>
      </c>
      <c r="AB669" s="74" t="s">
        <v>397</v>
      </c>
      <c r="AC669" s="74" t="s">
        <v>52</v>
      </c>
      <c r="AD669" s="74" t="s">
        <v>397</v>
      </c>
      <c r="AE669" s="74" t="s">
        <v>108</v>
      </c>
      <c r="AF669" s="74" t="s">
        <v>123</v>
      </c>
    </row>
    <row r="670" spans="1:33">
      <c r="A670" s="19" t="s">
        <v>1001</v>
      </c>
      <c r="B670" s="4" t="s">
        <v>1018</v>
      </c>
      <c r="C670" s="63">
        <v>60</v>
      </c>
      <c r="D670" s="70" t="s">
        <v>54</v>
      </c>
      <c r="E670" s="33"/>
      <c r="F670" s="4" t="s">
        <v>1019</v>
      </c>
      <c r="G670" s="65"/>
      <c r="H670" s="65">
        <v>44973</v>
      </c>
      <c r="I670" s="65">
        <v>45005</v>
      </c>
      <c r="J670" s="66">
        <f t="shared" si="36"/>
        <v>33</v>
      </c>
      <c r="O670" s="70" t="s">
        <v>51</v>
      </c>
      <c r="P670" s="67"/>
      <c r="Q670" s="75"/>
      <c r="R670" s="69" t="str">
        <f t="shared" si="35"/>
        <v/>
      </c>
      <c r="S670" s="70" t="s">
        <v>51</v>
      </c>
      <c r="T670" s="76"/>
      <c r="U670" s="76"/>
      <c r="V670" s="70" t="s">
        <v>343</v>
      </c>
      <c r="W670" s="70" t="s">
        <v>343</v>
      </c>
      <c r="X670" s="70" t="s">
        <v>343</v>
      </c>
      <c r="Y670" s="70" t="s">
        <v>343</v>
      </c>
      <c r="Z670" s="70" t="s">
        <v>343</v>
      </c>
      <c r="AA670" s="74" t="s">
        <v>108</v>
      </c>
      <c r="AB670" s="74" t="s">
        <v>123</v>
      </c>
      <c r="AC670" s="74" t="s">
        <v>108</v>
      </c>
      <c r="AD670" s="74" t="s">
        <v>123</v>
      </c>
      <c r="AE670" s="74" t="s">
        <v>108</v>
      </c>
      <c r="AF670" s="74" t="s">
        <v>123</v>
      </c>
      <c r="AG670" s="9" t="s">
        <v>123</v>
      </c>
    </row>
    <row r="671" ht="30" spans="1:33">
      <c r="A671" s="19" t="s">
        <v>1001</v>
      </c>
      <c r="B671" s="4" t="s">
        <v>1020</v>
      </c>
      <c r="C671" s="63">
        <v>50</v>
      </c>
      <c r="D671" s="70" t="s">
        <v>48</v>
      </c>
      <c r="E671" s="33"/>
      <c r="F671" s="4" t="s">
        <v>1021</v>
      </c>
      <c r="G671" s="65"/>
      <c r="H671" s="65">
        <v>44977</v>
      </c>
      <c r="I671" s="65">
        <v>45540</v>
      </c>
      <c r="J671" s="66">
        <f t="shared" si="36"/>
        <v>564</v>
      </c>
      <c r="O671" s="70" t="s">
        <v>50</v>
      </c>
      <c r="P671" s="67"/>
      <c r="Q671" s="75"/>
      <c r="R671" s="69" t="str">
        <f t="shared" si="35"/>
        <v/>
      </c>
      <c r="S671" s="70" t="s">
        <v>51</v>
      </c>
      <c r="T671" s="76"/>
      <c r="U671" s="76"/>
      <c r="V671" s="70" t="s">
        <v>50</v>
      </c>
      <c r="W671" s="70" t="s">
        <v>50</v>
      </c>
      <c r="X671" s="70" t="s">
        <v>51</v>
      </c>
      <c r="Y671" s="70" t="s">
        <v>343</v>
      </c>
      <c r="Z671" s="70" t="s">
        <v>343</v>
      </c>
      <c r="AA671" s="74" t="s">
        <v>52</v>
      </c>
      <c r="AB671" s="74" t="s">
        <v>397</v>
      </c>
      <c r="AC671" s="74" t="s">
        <v>108</v>
      </c>
      <c r="AD671" s="74" t="s">
        <v>123</v>
      </c>
      <c r="AE671" s="74" t="s">
        <v>108</v>
      </c>
      <c r="AF671" s="74" t="s">
        <v>123</v>
      </c>
      <c r="AG671" s="9" t="s">
        <v>123</v>
      </c>
    </row>
    <row r="672" spans="1:33">
      <c r="A672" s="19" t="s">
        <v>1001</v>
      </c>
      <c r="B672" s="4" t="s">
        <v>1022</v>
      </c>
      <c r="C672" s="63">
        <v>37</v>
      </c>
      <c r="D672" s="70" t="s">
        <v>48</v>
      </c>
      <c r="E672" s="33"/>
      <c r="F672" s="4" t="s">
        <v>1023</v>
      </c>
      <c r="G672" s="65"/>
      <c r="H672" s="65">
        <v>44970</v>
      </c>
      <c r="I672" s="65">
        <v>45833</v>
      </c>
      <c r="J672" s="66">
        <f t="shared" si="36"/>
        <v>864</v>
      </c>
      <c r="O672" s="70" t="s">
        <v>50</v>
      </c>
      <c r="P672" s="67"/>
      <c r="Q672" s="75"/>
      <c r="R672" s="69" t="str">
        <f t="shared" si="35"/>
        <v/>
      </c>
      <c r="S672" s="70" t="s">
        <v>51</v>
      </c>
      <c r="T672" s="76"/>
      <c r="U672" s="76"/>
      <c r="V672" s="70" t="s">
        <v>343</v>
      </c>
      <c r="W672" s="70" t="s">
        <v>343</v>
      </c>
      <c r="X672" s="70" t="s">
        <v>51</v>
      </c>
      <c r="Y672" s="70" t="s">
        <v>343</v>
      </c>
      <c r="Z672" s="70" t="s">
        <v>343</v>
      </c>
      <c r="AA672" s="74" t="s">
        <v>52</v>
      </c>
      <c r="AB672" s="74" t="s">
        <v>397</v>
      </c>
      <c r="AC672" s="74" t="s">
        <v>108</v>
      </c>
      <c r="AD672" s="74" t="s">
        <v>123</v>
      </c>
      <c r="AE672" s="74" t="s">
        <v>108</v>
      </c>
      <c r="AF672" s="74" t="s">
        <v>123</v>
      </c>
      <c r="AG672" s="9" t="s">
        <v>123</v>
      </c>
    </row>
    <row r="673" ht="45" spans="1:33">
      <c r="A673" s="19" t="s">
        <v>1001</v>
      </c>
      <c r="B673" s="4" t="s">
        <v>1024</v>
      </c>
      <c r="C673" s="63">
        <v>56</v>
      </c>
      <c r="D673" s="70" t="s">
        <v>48</v>
      </c>
      <c r="E673" s="33"/>
      <c r="F673" s="4" t="s">
        <v>1025</v>
      </c>
      <c r="G673" s="65"/>
      <c r="H673" s="65">
        <v>44973</v>
      </c>
      <c r="I673" s="65">
        <v>45559</v>
      </c>
      <c r="J673" s="66">
        <f t="shared" si="36"/>
        <v>587</v>
      </c>
      <c r="O673" s="70" t="s">
        <v>50</v>
      </c>
      <c r="P673" s="67"/>
      <c r="Q673" s="75"/>
      <c r="R673" s="69" t="str">
        <f t="shared" si="35"/>
        <v/>
      </c>
      <c r="S673" s="70" t="s">
        <v>51</v>
      </c>
      <c r="T673" s="76"/>
      <c r="U673" s="76"/>
      <c r="V673" s="70" t="s">
        <v>51</v>
      </c>
      <c r="W673" s="70" t="s">
        <v>51</v>
      </c>
      <c r="X673" s="70" t="s">
        <v>51</v>
      </c>
      <c r="Y673" s="70" t="s">
        <v>343</v>
      </c>
      <c r="Z673" s="70" t="s">
        <v>343</v>
      </c>
      <c r="AA673" s="74" t="s">
        <v>52</v>
      </c>
      <c r="AB673" s="74" t="s">
        <v>397</v>
      </c>
      <c r="AC673" s="74" t="s">
        <v>108</v>
      </c>
      <c r="AD673" s="74" t="s">
        <v>123</v>
      </c>
      <c r="AE673" s="74" t="s">
        <v>108</v>
      </c>
      <c r="AF673" s="74" t="s">
        <v>123</v>
      </c>
      <c r="AG673" s="9" t="s">
        <v>123</v>
      </c>
    </row>
    <row r="674" ht="45" spans="1:33">
      <c r="A674" s="19" t="s">
        <v>1001</v>
      </c>
      <c r="B674" s="4" t="s">
        <v>1026</v>
      </c>
      <c r="C674" s="63">
        <v>34</v>
      </c>
      <c r="D674" s="70" t="s">
        <v>54</v>
      </c>
      <c r="E674" s="33"/>
      <c r="F674" s="4" t="s">
        <v>1027</v>
      </c>
      <c r="G674" s="65"/>
      <c r="H674" s="65">
        <v>44895</v>
      </c>
      <c r="I674" s="65">
        <v>45519</v>
      </c>
      <c r="J674" s="66">
        <f t="shared" si="36"/>
        <v>625</v>
      </c>
      <c r="O674" s="70" t="s">
        <v>50</v>
      </c>
      <c r="P674" s="67"/>
      <c r="Q674" s="75"/>
      <c r="R674" s="69" t="str">
        <f t="shared" si="35"/>
        <v/>
      </c>
      <c r="S674" s="70" t="s">
        <v>51</v>
      </c>
      <c r="T674" s="76"/>
      <c r="U674" s="76"/>
      <c r="V674" s="70" t="s">
        <v>51</v>
      </c>
      <c r="W674" s="70" t="s">
        <v>51</v>
      </c>
      <c r="X674" s="70" t="s">
        <v>51</v>
      </c>
      <c r="Y674" s="70" t="s">
        <v>343</v>
      </c>
      <c r="Z674" s="70" t="s">
        <v>343</v>
      </c>
      <c r="AA674" s="74" t="s">
        <v>52</v>
      </c>
      <c r="AB674" s="74" t="s">
        <v>397</v>
      </c>
      <c r="AC674" s="74" t="s">
        <v>52</v>
      </c>
      <c r="AD674" s="74" t="s">
        <v>397</v>
      </c>
      <c r="AE674" s="74" t="s">
        <v>52</v>
      </c>
      <c r="AF674" s="74" t="s">
        <v>397</v>
      </c>
    </row>
    <row r="675" ht="60" spans="1:33">
      <c r="A675" s="19" t="s">
        <v>1001</v>
      </c>
      <c r="B675" s="4" t="s">
        <v>1028</v>
      </c>
      <c r="C675" s="63">
        <v>58</v>
      </c>
      <c r="D675" s="70" t="s">
        <v>54</v>
      </c>
      <c r="E675" s="33"/>
      <c r="F675" s="4" t="s">
        <v>1029</v>
      </c>
      <c r="G675" s="65"/>
      <c r="H675" s="65">
        <v>44888</v>
      </c>
      <c r="I675" s="65">
        <v>45255</v>
      </c>
      <c r="J675" s="66">
        <f t="shared" si="36"/>
        <v>368</v>
      </c>
      <c r="O675" s="70" t="s">
        <v>50</v>
      </c>
      <c r="P675" s="67"/>
      <c r="Q675" s="75"/>
      <c r="R675" s="69" t="str">
        <f t="shared" si="35"/>
        <v/>
      </c>
      <c r="S675" s="70" t="s">
        <v>51</v>
      </c>
      <c r="T675" s="76"/>
      <c r="U675" s="76"/>
      <c r="V675" s="70" t="s">
        <v>51</v>
      </c>
      <c r="W675" s="70" t="s">
        <v>51</v>
      </c>
      <c r="X675" s="70" t="s">
        <v>51</v>
      </c>
      <c r="Y675" s="70" t="s">
        <v>50</v>
      </c>
      <c r="Z675" s="70" t="s">
        <v>51</v>
      </c>
      <c r="AA675" s="74" t="s">
        <v>108</v>
      </c>
      <c r="AB675" s="74" t="s">
        <v>386</v>
      </c>
      <c r="AC675" s="74" t="s">
        <v>108</v>
      </c>
      <c r="AD675" s="74" t="s">
        <v>386</v>
      </c>
      <c r="AE675" s="74" t="s">
        <v>108</v>
      </c>
      <c r="AF675" s="74" t="s">
        <v>386</v>
      </c>
      <c r="AG675" s="9" t="s">
        <v>386</v>
      </c>
    </row>
    <row r="676" ht="45" spans="1:33">
      <c r="A676" s="19" t="s">
        <v>1001</v>
      </c>
      <c r="B676" s="4" t="s">
        <v>1030</v>
      </c>
      <c r="C676" s="63">
        <v>35</v>
      </c>
      <c r="D676" s="70" t="s">
        <v>54</v>
      </c>
      <c r="E676" s="33"/>
      <c r="F676" s="4" t="s">
        <v>1031</v>
      </c>
      <c r="G676" s="65"/>
      <c r="H676" s="65">
        <v>44884</v>
      </c>
      <c r="I676" s="65">
        <v>45494</v>
      </c>
      <c r="J676" s="66">
        <f t="shared" si="36"/>
        <v>611</v>
      </c>
      <c r="O676" s="70" t="s">
        <v>50</v>
      </c>
      <c r="P676" s="67"/>
      <c r="Q676" s="75"/>
      <c r="R676" s="69" t="str">
        <f t="shared" si="35"/>
        <v/>
      </c>
      <c r="S676" s="70" t="s">
        <v>51</v>
      </c>
      <c r="T676" s="76"/>
      <c r="U676" s="76"/>
      <c r="V676" s="70" t="s">
        <v>50</v>
      </c>
      <c r="W676" s="70" t="s">
        <v>50</v>
      </c>
      <c r="X676" s="70" t="s">
        <v>51</v>
      </c>
      <c r="Y676" s="70" t="s">
        <v>51</v>
      </c>
      <c r="Z676" s="70" t="s">
        <v>51</v>
      </c>
      <c r="AA676" s="74" t="s">
        <v>52</v>
      </c>
      <c r="AB676" s="74" t="s">
        <v>397</v>
      </c>
      <c r="AC676" s="74" t="s">
        <v>52</v>
      </c>
      <c r="AD676" s="74" t="s">
        <v>397</v>
      </c>
      <c r="AE676" s="74" t="s">
        <v>52</v>
      </c>
      <c r="AF676" s="74" t="s">
        <v>397</v>
      </c>
    </row>
    <row r="677" ht="60" spans="1:33">
      <c r="A677" s="19" t="s">
        <v>1001</v>
      </c>
      <c r="B677" s="4" t="s">
        <v>1032</v>
      </c>
      <c r="C677" s="63">
        <v>29</v>
      </c>
      <c r="D677" s="70" t="s">
        <v>54</v>
      </c>
      <c r="E677" s="33"/>
      <c r="F677" s="4" t="s">
        <v>1033</v>
      </c>
      <c r="G677" s="65"/>
      <c r="H677" s="65">
        <v>44883</v>
      </c>
      <c r="I677" s="65">
        <v>45428</v>
      </c>
      <c r="J677" s="66">
        <f t="shared" si="36"/>
        <v>546</v>
      </c>
      <c r="O677" s="70" t="s">
        <v>50</v>
      </c>
      <c r="P677" s="67"/>
      <c r="Q677" s="75"/>
      <c r="R677" s="69" t="str">
        <f t="shared" si="35"/>
        <v/>
      </c>
      <c r="S677" s="70" t="s">
        <v>51</v>
      </c>
      <c r="T677" s="76"/>
      <c r="U677" s="76"/>
      <c r="V677" s="70" t="s">
        <v>50</v>
      </c>
      <c r="W677" s="70" t="s">
        <v>50</v>
      </c>
      <c r="X677" s="70" t="s">
        <v>51</v>
      </c>
      <c r="Y677" s="70" t="s">
        <v>51</v>
      </c>
      <c r="Z677" s="70" t="s">
        <v>343</v>
      </c>
      <c r="AA677" s="74" t="s">
        <v>52</v>
      </c>
      <c r="AB677" s="74" t="s">
        <v>397</v>
      </c>
      <c r="AC677" s="74" t="s">
        <v>52</v>
      </c>
      <c r="AD677" s="74" t="s">
        <v>397</v>
      </c>
      <c r="AE677" s="74" t="s">
        <v>108</v>
      </c>
      <c r="AF677" s="74" t="s">
        <v>123</v>
      </c>
    </row>
    <row r="678" ht="45" spans="1:33">
      <c r="A678" s="19" t="s">
        <v>1001</v>
      </c>
      <c r="B678" s="4" t="s">
        <v>1034</v>
      </c>
      <c r="C678" s="63">
        <v>56</v>
      </c>
      <c r="D678" s="70" t="s">
        <v>54</v>
      </c>
      <c r="E678" s="33"/>
      <c r="F678" s="4" t="s">
        <v>1035</v>
      </c>
      <c r="G678" s="65"/>
      <c r="H678" s="65">
        <v>44882</v>
      </c>
      <c r="I678" s="65">
        <v>45490</v>
      </c>
      <c r="J678" s="66">
        <f t="shared" si="36"/>
        <v>609</v>
      </c>
      <c r="O678" s="70" t="s">
        <v>50</v>
      </c>
      <c r="P678" s="67"/>
      <c r="Q678" s="75"/>
      <c r="R678" s="69" t="str">
        <f t="shared" si="35"/>
        <v/>
      </c>
      <c r="S678" s="70" t="s">
        <v>51</v>
      </c>
      <c r="T678" s="76"/>
      <c r="U678" s="76"/>
      <c r="V678" s="70" t="s">
        <v>50</v>
      </c>
      <c r="W678" s="70" t="s">
        <v>50</v>
      </c>
      <c r="X678" s="70" t="s">
        <v>51</v>
      </c>
      <c r="Y678" s="70" t="s">
        <v>343</v>
      </c>
      <c r="Z678" s="70" t="s">
        <v>343</v>
      </c>
      <c r="AA678" s="74" t="s">
        <v>52</v>
      </c>
      <c r="AB678" s="74" t="s">
        <v>397</v>
      </c>
      <c r="AC678" s="74" t="s">
        <v>52</v>
      </c>
      <c r="AD678" s="74" t="s">
        <v>397</v>
      </c>
      <c r="AE678" s="74" t="s">
        <v>108</v>
      </c>
      <c r="AF678" s="74" t="s">
        <v>123</v>
      </c>
    </row>
    <row r="679" ht="30" spans="1:33">
      <c r="A679" s="19" t="s">
        <v>1001</v>
      </c>
      <c r="B679" s="4" t="s">
        <v>1036</v>
      </c>
      <c r="C679" s="63">
        <v>25</v>
      </c>
      <c r="D679" s="70" t="s">
        <v>54</v>
      </c>
      <c r="E679" s="33"/>
      <c r="F679" s="4" t="s">
        <v>1037</v>
      </c>
      <c r="G679" s="65"/>
      <c r="H679" s="65">
        <v>44824</v>
      </c>
      <c r="I679" s="65">
        <v>45360</v>
      </c>
      <c r="J679" s="66">
        <f t="shared" si="36"/>
        <v>537</v>
      </c>
      <c r="O679" s="70" t="s">
        <v>50</v>
      </c>
      <c r="P679" s="67"/>
      <c r="Q679" s="75"/>
      <c r="R679" s="69" t="str">
        <f t="shared" si="35"/>
        <v/>
      </c>
      <c r="S679" s="70" t="s">
        <v>51</v>
      </c>
      <c r="T679" s="76"/>
      <c r="U679" s="76"/>
      <c r="V679" s="70" t="s">
        <v>51</v>
      </c>
      <c r="W679" s="70" t="s">
        <v>51</v>
      </c>
      <c r="X679" s="70" t="s">
        <v>343</v>
      </c>
      <c r="Y679" s="70" t="s">
        <v>343</v>
      </c>
      <c r="Z679" s="70" t="s">
        <v>343</v>
      </c>
      <c r="AA679" s="74" t="s">
        <v>52</v>
      </c>
      <c r="AB679" s="74" t="s">
        <v>397</v>
      </c>
      <c r="AC679" s="74" t="s">
        <v>108</v>
      </c>
      <c r="AD679" s="74" t="s">
        <v>123</v>
      </c>
      <c r="AE679" s="74" t="s">
        <v>108</v>
      </c>
      <c r="AF679" s="74" t="s">
        <v>123</v>
      </c>
      <c r="AG679" s="9" t="s">
        <v>123</v>
      </c>
    </row>
    <row r="680" ht="90" spans="1:33">
      <c r="A680" s="19" t="s">
        <v>1001</v>
      </c>
      <c r="B680" s="4" t="s">
        <v>1038</v>
      </c>
      <c r="C680" s="63">
        <v>30</v>
      </c>
      <c r="D680" s="70" t="s">
        <v>48</v>
      </c>
      <c r="E680" s="33"/>
      <c r="F680" s="4" t="s">
        <v>1039</v>
      </c>
      <c r="G680" s="65"/>
      <c r="H680" s="65">
        <v>44809</v>
      </c>
      <c r="I680" s="65">
        <v>45344</v>
      </c>
      <c r="J680" s="66">
        <f t="shared" si="36"/>
        <v>536</v>
      </c>
      <c r="O680" s="70" t="s">
        <v>50</v>
      </c>
      <c r="P680" s="67"/>
      <c r="Q680" s="75"/>
      <c r="R680" s="69" t="str">
        <f t="shared" si="35"/>
        <v/>
      </c>
      <c r="S680" s="70" t="s">
        <v>51</v>
      </c>
      <c r="T680" s="76"/>
      <c r="U680" s="76"/>
      <c r="V680" s="70" t="s">
        <v>51</v>
      </c>
      <c r="W680" s="70" t="s">
        <v>51</v>
      </c>
      <c r="X680" s="70" t="s">
        <v>343</v>
      </c>
      <c r="Y680" s="70" t="s">
        <v>343</v>
      </c>
      <c r="Z680" s="70" t="s">
        <v>343</v>
      </c>
      <c r="AA680" s="74" t="s">
        <v>52</v>
      </c>
      <c r="AB680" s="74" t="s">
        <v>397</v>
      </c>
      <c r="AC680" s="74" t="s">
        <v>108</v>
      </c>
      <c r="AD680" s="74" t="s">
        <v>123</v>
      </c>
      <c r="AE680" s="74" t="s">
        <v>108</v>
      </c>
      <c r="AF680" s="74" t="s">
        <v>123</v>
      </c>
      <c r="AG680" s="9" t="s">
        <v>123</v>
      </c>
    </row>
    <row r="681" ht="60" spans="1:33">
      <c r="A681" s="19" t="s">
        <v>1001</v>
      </c>
      <c r="B681" s="4" t="s">
        <v>1040</v>
      </c>
      <c r="C681" s="63">
        <v>38</v>
      </c>
      <c r="D681" s="70" t="s">
        <v>48</v>
      </c>
      <c r="E681" s="33"/>
      <c r="F681" s="4" t="s">
        <v>1041</v>
      </c>
      <c r="G681" s="65"/>
      <c r="H681" s="65">
        <v>44783</v>
      </c>
      <c r="I681" s="65">
        <v>45147</v>
      </c>
      <c r="J681" s="66">
        <f t="shared" si="36"/>
        <v>365</v>
      </c>
      <c r="O681" s="70" t="s">
        <v>50</v>
      </c>
      <c r="P681" s="67"/>
      <c r="Q681" s="75"/>
      <c r="R681" s="69" t="str">
        <f t="shared" si="35"/>
        <v/>
      </c>
      <c r="S681" s="70" t="s">
        <v>51</v>
      </c>
      <c r="T681" s="76"/>
      <c r="U681" s="76"/>
      <c r="V681" s="70" t="s">
        <v>343</v>
      </c>
      <c r="W681" s="70" t="s">
        <v>343</v>
      </c>
      <c r="X681" s="70" t="s">
        <v>51</v>
      </c>
      <c r="Y681" s="70" t="s">
        <v>343</v>
      </c>
      <c r="Z681" s="70" t="s">
        <v>343</v>
      </c>
      <c r="AA681" s="74" t="s">
        <v>108</v>
      </c>
      <c r="AB681" s="74" t="s">
        <v>386</v>
      </c>
      <c r="AC681" s="74" t="s">
        <v>108</v>
      </c>
      <c r="AD681" s="74" t="s">
        <v>123</v>
      </c>
      <c r="AE681" s="74" t="s">
        <v>108</v>
      </c>
      <c r="AF681" s="74" t="s">
        <v>123</v>
      </c>
      <c r="AG681" s="9" t="s">
        <v>123</v>
      </c>
    </row>
    <row r="682" ht="30" spans="1:33">
      <c r="A682" s="19" t="s">
        <v>1001</v>
      </c>
      <c r="B682" s="4" t="s">
        <v>1042</v>
      </c>
      <c r="C682" s="63">
        <v>35</v>
      </c>
      <c r="D682" s="70" t="s">
        <v>48</v>
      </c>
      <c r="E682" s="33"/>
      <c r="F682" s="4" t="s">
        <v>1043</v>
      </c>
      <c r="G682" s="65"/>
      <c r="H682" s="65">
        <v>44778</v>
      </c>
      <c r="I682" s="65">
        <v>45363</v>
      </c>
      <c r="J682" s="66">
        <f t="shared" si="36"/>
        <v>586</v>
      </c>
      <c r="O682" s="70" t="s">
        <v>50</v>
      </c>
      <c r="P682" s="67"/>
      <c r="Q682" s="75"/>
      <c r="R682" s="69" t="str">
        <f t="shared" si="35"/>
        <v/>
      </c>
      <c r="S682" s="70" t="s">
        <v>51</v>
      </c>
      <c r="T682" s="76"/>
      <c r="U682" s="76"/>
      <c r="V682" s="70" t="s">
        <v>51</v>
      </c>
      <c r="W682" s="70" t="s">
        <v>51</v>
      </c>
      <c r="X682" s="70" t="s">
        <v>51</v>
      </c>
      <c r="Y682" s="70" t="s">
        <v>343</v>
      </c>
      <c r="Z682" s="70" t="s">
        <v>343</v>
      </c>
      <c r="AA682" s="74" t="s">
        <v>52</v>
      </c>
      <c r="AB682" s="74" t="s">
        <v>397</v>
      </c>
      <c r="AC682" s="74" t="s">
        <v>52</v>
      </c>
      <c r="AD682" s="74" t="s">
        <v>397</v>
      </c>
      <c r="AE682" s="74" t="s">
        <v>52</v>
      </c>
      <c r="AF682" s="74" t="s">
        <v>397</v>
      </c>
    </row>
    <row r="683" spans="1:33">
      <c r="A683" s="19" t="s">
        <v>1001</v>
      </c>
      <c r="B683" s="4" t="s">
        <v>1044</v>
      </c>
      <c r="C683" s="63">
        <v>29</v>
      </c>
      <c r="D683" s="70" t="s">
        <v>54</v>
      </c>
      <c r="E683" s="33"/>
      <c r="F683" s="4" t="s">
        <v>1045</v>
      </c>
      <c r="G683" s="65">
        <v>44859</v>
      </c>
      <c r="H683" s="65">
        <v>44697</v>
      </c>
      <c r="I683" s="65">
        <v>44881</v>
      </c>
      <c r="J683" s="66">
        <f t="shared" si="36"/>
        <v>185</v>
      </c>
      <c r="O683" s="70" t="s">
        <v>50</v>
      </c>
      <c r="P683" s="67"/>
      <c r="Q683" s="75"/>
      <c r="R683" s="69" t="str">
        <f t="shared" si="35"/>
        <v/>
      </c>
      <c r="S683" s="70" t="s">
        <v>51</v>
      </c>
      <c r="T683" s="76"/>
      <c r="U683" s="76"/>
      <c r="V683" s="70" t="s">
        <v>51</v>
      </c>
      <c r="W683" s="70" t="s">
        <v>51</v>
      </c>
      <c r="X683" s="70" t="s">
        <v>51</v>
      </c>
      <c r="Y683" s="70" t="s">
        <v>51</v>
      </c>
      <c r="Z683" s="70" t="s">
        <v>343</v>
      </c>
      <c r="AA683" s="74" t="s">
        <v>52</v>
      </c>
      <c r="AB683" s="74" t="s">
        <v>397</v>
      </c>
      <c r="AC683" s="74" t="s">
        <v>52</v>
      </c>
      <c r="AD683" s="74" t="s">
        <v>397</v>
      </c>
      <c r="AE683" s="74" t="s">
        <v>108</v>
      </c>
      <c r="AF683" s="74" t="s">
        <v>123</v>
      </c>
    </row>
    <row r="684" ht="30" spans="1:33">
      <c r="A684" s="19" t="s">
        <v>1046</v>
      </c>
      <c r="B684" s="4">
        <v>1090016</v>
      </c>
      <c r="C684" s="63">
        <v>28</v>
      </c>
      <c r="D684" s="70" t="s">
        <v>48</v>
      </c>
      <c r="E684" s="33"/>
      <c r="F684" s="4" t="s">
        <v>1047</v>
      </c>
      <c r="G684" s="65">
        <v>45562</v>
      </c>
      <c r="H684" s="65">
        <v>45372</v>
      </c>
      <c r="I684" s="65">
        <v>45638</v>
      </c>
      <c r="J684" s="66">
        <f t="shared" si="36"/>
        <v>267</v>
      </c>
      <c r="O684" s="70" t="s">
        <v>50</v>
      </c>
      <c r="P684" s="67"/>
      <c r="Q684" s="75"/>
      <c r="R684" s="69" t="str">
        <f t="shared" si="35"/>
        <v/>
      </c>
      <c r="S684" s="70"/>
      <c r="T684" s="76"/>
      <c r="U684" s="76"/>
      <c r="V684" s="70"/>
      <c r="W684" s="70" t="s">
        <v>51</v>
      </c>
      <c r="X684" s="70" t="s">
        <v>51</v>
      </c>
      <c r="Y684" s="70" t="s">
        <v>51</v>
      </c>
      <c r="Z684" s="70" t="s">
        <v>1048</v>
      </c>
      <c r="AA684" s="74" t="s">
        <v>52</v>
      </c>
      <c r="AB684" s="74" t="s">
        <v>52</v>
      </c>
      <c r="AC684" s="74" t="s">
        <v>52</v>
      </c>
      <c r="AD684" s="74" t="s">
        <v>52</v>
      </c>
      <c r="AE684" s="74" t="s">
        <v>52</v>
      </c>
      <c r="AF684" s="74" t="s">
        <v>52</v>
      </c>
    </row>
    <row r="685" ht="30" spans="1:33">
      <c r="A685" s="19" t="s">
        <v>1046</v>
      </c>
      <c r="B685" s="4">
        <v>1090015</v>
      </c>
      <c r="C685" s="63">
        <v>55</v>
      </c>
      <c r="D685" s="70" t="s">
        <v>48</v>
      </c>
      <c r="E685" s="33"/>
      <c r="F685" s="4" t="s">
        <v>1047</v>
      </c>
      <c r="G685" s="65">
        <v>45545</v>
      </c>
      <c r="H685" s="65">
        <v>45363</v>
      </c>
      <c r="I685" s="65">
        <v>45545</v>
      </c>
      <c r="J685" s="66">
        <f t="shared" si="36"/>
        <v>183</v>
      </c>
      <c r="O685" s="70" t="s">
        <v>50</v>
      </c>
      <c r="P685" s="67"/>
      <c r="Q685" s="75"/>
      <c r="R685" s="69" t="str">
        <f t="shared" si="35"/>
        <v/>
      </c>
      <c r="S685" s="70"/>
      <c r="T685" s="76"/>
      <c r="U685" s="76"/>
      <c r="V685" s="70"/>
      <c r="W685" s="70" t="s">
        <v>51</v>
      </c>
      <c r="X685" s="70" t="s">
        <v>51</v>
      </c>
      <c r="Y685" s="70" t="s">
        <v>51</v>
      </c>
      <c r="Z685" s="70" t="s">
        <v>51</v>
      </c>
      <c r="AA685" s="74" t="s">
        <v>52</v>
      </c>
      <c r="AB685" s="74" t="s">
        <v>52</v>
      </c>
      <c r="AC685" s="74" t="s">
        <v>52</v>
      </c>
      <c r="AD685" s="74" t="s">
        <v>52</v>
      </c>
      <c r="AE685" s="74" t="s">
        <v>52</v>
      </c>
      <c r="AF685" s="74" t="s">
        <v>52</v>
      </c>
    </row>
    <row r="686" ht="30" spans="1:33">
      <c r="A686" s="19" t="s">
        <v>1046</v>
      </c>
      <c r="B686" s="4">
        <v>1090014</v>
      </c>
      <c r="C686" s="63">
        <v>41</v>
      </c>
      <c r="D686" s="70" t="s">
        <v>48</v>
      </c>
      <c r="E686" s="33"/>
      <c r="F686" s="4" t="s">
        <v>1047</v>
      </c>
      <c r="G686" s="65">
        <v>45443</v>
      </c>
      <c r="H686" s="65">
        <v>45267</v>
      </c>
      <c r="I686" s="65">
        <v>45542</v>
      </c>
      <c r="J686" s="66">
        <f t="shared" si="36"/>
        <v>276</v>
      </c>
      <c r="O686" s="70" t="s">
        <v>50</v>
      </c>
      <c r="P686" s="67"/>
      <c r="Q686" s="75"/>
      <c r="R686" s="69" t="str">
        <f t="shared" si="35"/>
        <v/>
      </c>
      <c r="S686" s="70"/>
      <c r="T686" s="76"/>
      <c r="U686" s="76"/>
      <c r="V686" s="70"/>
      <c r="W686" s="70" t="s">
        <v>51</v>
      </c>
      <c r="X686" s="70" t="s">
        <v>51</v>
      </c>
      <c r="Y686" s="70" t="s">
        <v>51</v>
      </c>
      <c r="Z686" s="70" t="s">
        <v>51</v>
      </c>
      <c r="AA686" s="74" t="s">
        <v>52</v>
      </c>
      <c r="AB686" s="74" t="s">
        <v>52</v>
      </c>
      <c r="AC686" s="74" t="s">
        <v>52</v>
      </c>
      <c r="AD686" s="74" t="s">
        <v>52</v>
      </c>
      <c r="AE686" s="74" t="s">
        <v>52</v>
      </c>
      <c r="AF686" s="74" t="s">
        <v>52</v>
      </c>
    </row>
    <row r="687" ht="30" spans="1:33">
      <c r="A687" s="19" t="s">
        <v>1046</v>
      </c>
      <c r="B687" s="4">
        <v>1090013</v>
      </c>
      <c r="C687" s="63">
        <v>69</v>
      </c>
      <c r="D687" s="70" t="s">
        <v>48</v>
      </c>
      <c r="E687" s="33"/>
      <c r="F687" s="4" t="s">
        <v>1049</v>
      </c>
      <c r="G687" s="65">
        <v>45457</v>
      </c>
      <c r="H687" s="65">
        <v>45263</v>
      </c>
      <c r="I687" s="65">
        <v>45457</v>
      </c>
      <c r="J687" s="66">
        <f t="shared" si="36"/>
        <v>195</v>
      </c>
      <c r="O687" s="70" t="s">
        <v>50</v>
      </c>
      <c r="P687" s="67"/>
      <c r="Q687" s="75"/>
      <c r="R687" s="69" t="str">
        <f t="shared" si="35"/>
        <v/>
      </c>
      <c r="S687" s="70"/>
      <c r="T687" s="76"/>
      <c r="U687" s="76"/>
      <c r="V687" s="70"/>
      <c r="W687" s="70" t="s">
        <v>51</v>
      </c>
      <c r="X687" s="70" t="s">
        <v>51</v>
      </c>
      <c r="Y687" s="70" t="s">
        <v>1050</v>
      </c>
      <c r="Z687" s="70" t="s">
        <v>1050</v>
      </c>
      <c r="AA687" s="74" t="s">
        <v>52</v>
      </c>
      <c r="AB687" s="74" t="s">
        <v>52</v>
      </c>
      <c r="AC687" s="74" t="s">
        <v>52</v>
      </c>
      <c r="AD687" s="74" t="s">
        <v>52</v>
      </c>
      <c r="AE687" s="74"/>
      <c r="AF687" s="74"/>
    </row>
    <row r="688" ht="30" spans="1:33">
      <c r="A688" s="19" t="s">
        <v>1046</v>
      </c>
      <c r="B688" s="4">
        <v>1090012</v>
      </c>
      <c r="C688" s="63">
        <v>65</v>
      </c>
      <c r="D688" s="70" t="s">
        <v>54</v>
      </c>
      <c r="E688" s="33"/>
      <c r="F688" s="4" t="s">
        <v>1047</v>
      </c>
      <c r="G688" s="65">
        <v>45423</v>
      </c>
      <c r="H688" s="65">
        <v>45243</v>
      </c>
      <c r="I688" s="65">
        <v>45423</v>
      </c>
      <c r="J688" s="66">
        <f t="shared" si="36"/>
        <v>181</v>
      </c>
      <c r="O688" s="70" t="s">
        <v>50</v>
      </c>
      <c r="P688" s="67"/>
      <c r="Q688" s="75"/>
      <c r="R688" s="69" t="str">
        <f t="shared" si="35"/>
        <v/>
      </c>
      <c r="S688" s="70"/>
      <c r="T688" s="76"/>
      <c r="U688" s="76"/>
      <c r="V688" s="70"/>
      <c r="W688" s="70" t="s">
        <v>51</v>
      </c>
      <c r="X688" s="70" t="s">
        <v>51</v>
      </c>
      <c r="Y688" s="70" t="s">
        <v>51</v>
      </c>
      <c r="Z688" s="70" t="s">
        <v>51</v>
      </c>
      <c r="AA688" s="74" t="s">
        <v>52</v>
      </c>
      <c r="AB688" s="74" t="s">
        <v>52</v>
      </c>
      <c r="AC688" s="74" t="s">
        <v>52</v>
      </c>
      <c r="AD688" s="74" t="s">
        <v>52</v>
      </c>
      <c r="AE688" s="74" t="s">
        <v>52</v>
      </c>
      <c r="AF688" s="74" t="s">
        <v>52</v>
      </c>
    </row>
    <row r="689" ht="30" spans="1:33">
      <c r="A689" s="19" t="s">
        <v>1046</v>
      </c>
      <c r="B689" s="4">
        <v>1090011</v>
      </c>
      <c r="C689" s="63">
        <v>27</v>
      </c>
      <c r="D689" s="70" t="s">
        <v>48</v>
      </c>
      <c r="E689" s="33"/>
      <c r="F689" s="4" t="s">
        <v>1047</v>
      </c>
      <c r="G689" s="65">
        <v>45362</v>
      </c>
      <c r="H689" s="65">
        <v>45187</v>
      </c>
      <c r="I689" s="65">
        <v>45362</v>
      </c>
      <c r="J689" s="66">
        <f t="shared" si="36"/>
        <v>176</v>
      </c>
      <c r="O689" s="70" t="s">
        <v>50</v>
      </c>
      <c r="P689" s="67"/>
      <c r="Q689" s="75"/>
      <c r="R689" s="69" t="str">
        <f t="shared" si="35"/>
        <v/>
      </c>
      <c r="S689" s="70"/>
      <c r="T689" s="76"/>
      <c r="U689" s="76"/>
      <c r="V689" s="70"/>
      <c r="W689" s="70" t="s">
        <v>51</v>
      </c>
      <c r="X689" s="70" t="s">
        <v>51</v>
      </c>
      <c r="Y689" s="70" t="s">
        <v>51</v>
      </c>
      <c r="Z689" s="70" t="s">
        <v>51</v>
      </c>
      <c r="AA689" s="74" t="s">
        <v>52</v>
      </c>
      <c r="AB689" s="74" t="s">
        <v>52</v>
      </c>
      <c r="AC689" s="74" t="s">
        <v>52</v>
      </c>
      <c r="AD689" s="74" t="s">
        <v>52</v>
      </c>
      <c r="AE689" s="74" t="s">
        <v>1051</v>
      </c>
      <c r="AF689" s="74" t="s">
        <v>1051</v>
      </c>
    </row>
    <row r="690" ht="30" spans="1:33">
      <c r="A690" s="19" t="s">
        <v>1046</v>
      </c>
      <c r="B690" s="4">
        <v>1090010</v>
      </c>
      <c r="C690" s="63">
        <v>60</v>
      </c>
      <c r="D690" s="70" t="s">
        <v>48</v>
      </c>
      <c r="E690" s="33"/>
      <c r="F690" s="4" t="s">
        <v>1047</v>
      </c>
      <c r="G690" s="65">
        <v>45362</v>
      </c>
      <c r="H690" s="65">
        <v>45183</v>
      </c>
      <c r="I690" s="65">
        <v>45457</v>
      </c>
      <c r="J690" s="66">
        <f t="shared" si="36"/>
        <v>275</v>
      </c>
      <c r="O690" s="70" t="s">
        <v>50</v>
      </c>
      <c r="P690" s="67"/>
      <c r="Q690" s="75"/>
      <c r="R690" s="69" t="str">
        <f t="shared" si="35"/>
        <v/>
      </c>
      <c r="S690" s="70"/>
      <c r="T690" s="76"/>
      <c r="U690" s="76"/>
      <c r="V690" s="70"/>
      <c r="W690" s="70" t="s">
        <v>51</v>
      </c>
      <c r="X690" s="70" t="s">
        <v>51</v>
      </c>
      <c r="Y690" s="70" t="s">
        <v>51</v>
      </c>
      <c r="Z690" s="70" t="s">
        <v>403</v>
      </c>
      <c r="AA690" s="74" t="s">
        <v>52</v>
      </c>
      <c r="AB690" s="74" t="s">
        <v>52</v>
      </c>
      <c r="AC690" s="74" t="s">
        <v>52</v>
      </c>
      <c r="AD690" s="74" t="s">
        <v>52</v>
      </c>
      <c r="AE690" s="74" t="s">
        <v>403</v>
      </c>
      <c r="AF690" s="74" t="s">
        <v>403</v>
      </c>
    </row>
    <row r="691" ht="30" spans="1:33">
      <c r="A691" s="19" t="s">
        <v>1046</v>
      </c>
      <c r="B691" s="4">
        <v>1090009</v>
      </c>
      <c r="C691" s="63">
        <v>48</v>
      </c>
      <c r="D691" s="70" t="s">
        <v>48</v>
      </c>
      <c r="E691" s="33"/>
      <c r="F691" s="4" t="s">
        <v>1047</v>
      </c>
      <c r="G691" s="65">
        <v>45341</v>
      </c>
      <c r="H691" s="65">
        <v>45149</v>
      </c>
      <c r="I691" s="65">
        <v>45431</v>
      </c>
      <c r="J691" s="66">
        <f t="shared" si="36"/>
        <v>283</v>
      </c>
      <c r="O691" s="70" t="s">
        <v>50</v>
      </c>
      <c r="P691" s="67"/>
      <c r="Q691" s="75"/>
      <c r="R691" s="69" t="str">
        <f t="shared" si="35"/>
        <v/>
      </c>
      <c r="S691" s="70"/>
      <c r="T691" s="76"/>
      <c r="U691" s="76"/>
      <c r="V691" s="70"/>
      <c r="W691" s="70" t="s">
        <v>51</v>
      </c>
      <c r="X691" s="70" t="s">
        <v>51</v>
      </c>
      <c r="Y691" s="70" t="s">
        <v>51</v>
      </c>
      <c r="Z691" s="70" t="s">
        <v>51</v>
      </c>
      <c r="AA691" s="74" t="s">
        <v>52</v>
      </c>
      <c r="AB691" s="74" t="s">
        <v>52</v>
      </c>
      <c r="AC691" s="74" t="s">
        <v>52</v>
      </c>
      <c r="AD691" s="74" t="s">
        <v>52</v>
      </c>
      <c r="AE691" s="74" t="s">
        <v>52</v>
      </c>
      <c r="AF691" s="74" t="s">
        <v>52</v>
      </c>
    </row>
    <row r="692" ht="30" spans="1:33">
      <c r="A692" s="19" t="s">
        <v>1046</v>
      </c>
      <c r="B692" s="4">
        <v>1090006</v>
      </c>
      <c r="C692" s="63">
        <v>21</v>
      </c>
      <c r="D692" s="70" t="s">
        <v>48</v>
      </c>
      <c r="E692" s="33"/>
      <c r="F692" s="4" t="s">
        <v>1047</v>
      </c>
      <c r="G692" s="65">
        <v>45327</v>
      </c>
      <c r="H692" s="65">
        <v>45124</v>
      </c>
      <c r="I692" s="65">
        <v>45327</v>
      </c>
      <c r="J692" s="66">
        <f t="shared" si="36"/>
        <v>204</v>
      </c>
      <c r="O692" s="70" t="s">
        <v>50</v>
      </c>
      <c r="P692" s="67"/>
      <c r="Q692" s="75"/>
      <c r="R692" s="69" t="str">
        <f t="shared" si="35"/>
        <v/>
      </c>
      <c r="S692" s="70"/>
      <c r="T692" s="76"/>
      <c r="U692" s="76"/>
      <c r="V692" s="70"/>
      <c r="W692" s="70" t="s">
        <v>51</v>
      </c>
      <c r="X692" s="70" t="s">
        <v>51</v>
      </c>
      <c r="Y692" s="70" t="s">
        <v>51</v>
      </c>
      <c r="Z692" s="70" t="s">
        <v>51</v>
      </c>
      <c r="AA692" s="74" t="s">
        <v>52</v>
      </c>
      <c r="AB692" s="74" t="s">
        <v>52</v>
      </c>
      <c r="AC692" s="74" t="s">
        <v>52</v>
      </c>
      <c r="AD692" s="74" t="s">
        <v>52</v>
      </c>
      <c r="AE692" s="74" t="s">
        <v>52</v>
      </c>
      <c r="AF692" s="74" t="s">
        <v>52</v>
      </c>
    </row>
    <row r="693" ht="30" spans="1:33">
      <c r="A693" s="19" t="s">
        <v>1046</v>
      </c>
      <c r="B693" s="4">
        <v>1090007</v>
      </c>
      <c r="C693" s="63">
        <v>72</v>
      </c>
      <c r="D693" s="70" t="s">
        <v>48</v>
      </c>
      <c r="E693" s="33"/>
      <c r="F693" s="4" t="s">
        <v>1047</v>
      </c>
      <c r="G693" s="65">
        <v>45290</v>
      </c>
      <c r="H693" s="65">
        <v>45107</v>
      </c>
      <c r="I693" s="65">
        <v>45290</v>
      </c>
      <c r="J693" s="66">
        <f t="shared" si="36"/>
        <v>184</v>
      </c>
      <c r="O693" s="70" t="s">
        <v>50</v>
      </c>
      <c r="P693" s="67"/>
      <c r="Q693" s="75"/>
      <c r="R693" s="69" t="str">
        <f t="shared" si="35"/>
        <v/>
      </c>
      <c r="S693" s="70"/>
      <c r="T693" s="76"/>
      <c r="U693" s="76"/>
      <c r="V693" s="70"/>
      <c r="W693" s="70" t="s">
        <v>51</v>
      </c>
      <c r="X693" s="70" t="s">
        <v>51</v>
      </c>
      <c r="Y693" s="70" t="s">
        <v>51</v>
      </c>
      <c r="Z693" s="70" t="s">
        <v>403</v>
      </c>
      <c r="AA693" s="74" t="s">
        <v>52</v>
      </c>
      <c r="AB693" s="74" t="s">
        <v>52</v>
      </c>
      <c r="AC693" s="74" t="s">
        <v>52</v>
      </c>
      <c r="AD693" s="74" t="s">
        <v>52</v>
      </c>
      <c r="AE693" s="74"/>
      <c r="AF693" s="74"/>
    </row>
    <row r="694" ht="30" spans="1:33">
      <c r="A694" s="19" t="s">
        <v>1046</v>
      </c>
      <c r="B694" s="4">
        <v>1090005</v>
      </c>
      <c r="C694" s="63">
        <v>50</v>
      </c>
      <c r="D694" s="70" t="s">
        <v>48</v>
      </c>
      <c r="E694" s="33"/>
      <c r="F694" s="4" t="s">
        <v>1047</v>
      </c>
      <c r="G694" s="65">
        <v>45293</v>
      </c>
      <c r="H694" s="65">
        <v>45095</v>
      </c>
      <c r="I694" s="65">
        <v>45369</v>
      </c>
      <c r="J694" s="66">
        <f t="shared" si="36"/>
        <v>275</v>
      </c>
      <c r="O694" s="70" t="s">
        <v>50</v>
      </c>
      <c r="P694" s="67"/>
      <c r="Q694" s="75"/>
      <c r="R694" s="69" t="str">
        <f t="shared" si="35"/>
        <v/>
      </c>
      <c r="S694" s="70"/>
      <c r="T694" s="76"/>
      <c r="U694" s="76"/>
      <c r="V694" s="70"/>
      <c r="W694" s="70" t="s">
        <v>51</v>
      </c>
      <c r="X694" s="70" t="s">
        <v>51</v>
      </c>
      <c r="Y694" s="70" t="s">
        <v>51</v>
      </c>
      <c r="Z694" s="70" t="s">
        <v>403</v>
      </c>
      <c r="AA694" s="74" t="s">
        <v>52</v>
      </c>
      <c r="AB694" s="74" t="s">
        <v>52</v>
      </c>
      <c r="AC694" s="74" t="s">
        <v>52</v>
      </c>
      <c r="AD694" s="74" t="s">
        <v>52</v>
      </c>
      <c r="AE694" s="74"/>
      <c r="AF694" s="74"/>
    </row>
    <row r="695" ht="30" spans="1:33">
      <c r="A695" s="19" t="s">
        <v>1046</v>
      </c>
      <c r="B695" s="4">
        <v>1090008</v>
      </c>
      <c r="C695" s="63">
        <v>55</v>
      </c>
      <c r="D695" s="70" t="s">
        <v>54</v>
      </c>
      <c r="E695" s="33"/>
      <c r="F695" s="4" t="s">
        <v>1052</v>
      </c>
      <c r="G695" s="65">
        <v>45218</v>
      </c>
      <c r="H695" s="65">
        <v>45035</v>
      </c>
      <c r="I695" s="65">
        <v>45316</v>
      </c>
      <c r="J695" s="66">
        <f t="shared" si="36"/>
        <v>282</v>
      </c>
      <c r="O695" s="70" t="s">
        <v>50</v>
      </c>
      <c r="P695" s="67"/>
      <c r="Q695" s="75"/>
      <c r="R695" s="69" t="str">
        <f t="shared" si="35"/>
        <v/>
      </c>
      <c r="S695" s="70"/>
      <c r="T695" s="76"/>
      <c r="U695" s="76"/>
      <c r="V695" s="70"/>
      <c r="W695" s="70" t="s">
        <v>51</v>
      </c>
      <c r="X695" s="70" t="s">
        <v>51</v>
      </c>
      <c r="Y695" s="70" t="s">
        <v>51</v>
      </c>
      <c r="Z695" s="70" t="s">
        <v>51</v>
      </c>
      <c r="AA695" s="74" t="s">
        <v>52</v>
      </c>
      <c r="AB695" s="74" t="s">
        <v>52</v>
      </c>
      <c r="AC695" s="74" t="s">
        <v>52</v>
      </c>
      <c r="AD695" s="74" t="s">
        <v>52</v>
      </c>
      <c r="AE695" s="74" t="s">
        <v>52</v>
      </c>
      <c r="AF695" s="74" t="s">
        <v>52</v>
      </c>
    </row>
    <row r="696" ht="30" spans="1:33">
      <c r="A696" s="19" t="s">
        <v>1046</v>
      </c>
      <c r="B696" s="4">
        <v>1090004</v>
      </c>
      <c r="C696" s="63">
        <v>63</v>
      </c>
      <c r="D696" s="70" t="s">
        <v>48</v>
      </c>
      <c r="E696" s="33"/>
      <c r="F696" s="4" t="s">
        <v>1047</v>
      </c>
      <c r="G696" s="65">
        <v>45214</v>
      </c>
      <c r="H696" s="65">
        <v>45031</v>
      </c>
      <c r="I696" s="65">
        <v>45214</v>
      </c>
      <c r="J696" s="66">
        <f t="shared" si="36"/>
        <v>184</v>
      </c>
      <c r="O696" s="70" t="s">
        <v>50</v>
      </c>
      <c r="P696" s="67"/>
      <c r="Q696" s="75"/>
      <c r="R696" s="69" t="str">
        <f t="shared" si="35"/>
        <v/>
      </c>
      <c r="S696" s="70"/>
      <c r="T696" s="76"/>
      <c r="U696" s="76"/>
      <c r="V696" s="70"/>
      <c r="W696" s="70" t="s">
        <v>51</v>
      </c>
      <c r="X696" s="70" t="s">
        <v>51</v>
      </c>
      <c r="Y696" s="70" t="s">
        <v>51</v>
      </c>
      <c r="Z696" s="70" t="s">
        <v>51</v>
      </c>
      <c r="AA696" s="74" t="s">
        <v>52</v>
      </c>
      <c r="AB696" s="74" t="s">
        <v>52</v>
      </c>
      <c r="AC696" s="74" t="s">
        <v>52</v>
      </c>
      <c r="AD696" s="74" t="s">
        <v>52</v>
      </c>
      <c r="AE696" s="74" t="s">
        <v>52</v>
      </c>
      <c r="AF696" s="74" t="s">
        <v>52</v>
      </c>
    </row>
    <row r="697" ht="30" spans="1:33">
      <c r="A697" s="19" t="s">
        <v>1046</v>
      </c>
      <c r="B697" s="4">
        <v>1090017</v>
      </c>
      <c r="C697" s="63">
        <v>27</v>
      </c>
      <c r="D697" s="70" t="s">
        <v>54</v>
      </c>
      <c r="E697" s="33"/>
      <c r="F697" s="4" t="s">
        <v>1047</v>
      </c>
      <c r="G697" s="65">
        <v>44673</v>
      </c>
      <c r="H697" s="65">
        <v>44494</v>
      </c>
      <c r="I697" s="65">
        <v>44673</v>
      </c>
      <c r="J697" s="66">
        <f t="shared" si="36"/>
        <v>180</v>
      </c>
      <c r="O697" s="70" t="s">
        <v>50</v>
      </c>
      <c r="P697" s="67"/>
      <c r="Q697" s="75"/>
      <c r="R697" s="69" t="str">
        <f t="shared" si="35"/>
        <v/>
      </c>
      <c r="S697" s="70"/>
      <c r="T697" s="76"/>
      <c r="U697" s="76"/>
      <c r="V697" s="70"/>
      <c r="W697" s="70" t="s">
        <v>51</v>
      </c>
      <c r="X697" s="70" t="s">
        <v>51</v>
      </c>
      <c r="Y697" s="70" t="s">
        <v>51</v>
      </c>
      <c r="Z697" s="70" t="s">
        <v>51</v>
      </c>
      <c r="AA697" s="74" t="s">
        <v>52</v>
      </c>
      <c r="AB697" s="74" t="s">
        <v>52</v>
      </c>
      <c r="AC697" s="74" t="s">
        <v>52</v>
      </c>
      <c r="AD697" s="74" t="s">
        <v>52</v>
      </c>
      <c r="AE697" s="74" t="s">
        <v>52</v>
      </c>
      <c r="AF697" s="74" t="s">
        <v>52</v>
      </c>
    </row>
    <row r="698" ht="30" spans="1:33">
      <c r="A698" s="19" t="s">
        <v>1046</v>
      </c>
      <c r="B698" s="4">
        <v>1090003</v>
      </c>
      <c r="C698" s="63">
        <v>36</v>
      </c>
      <c r="D698" s="70" t="s">
        <v>48</v>
      </c>
      <c r="E698" s="33"/>
      <c r="F698" s="4" t="s">
        <v>1047</v>
      </c>
      <c r="G698" s="65">
        <v>45128</v>
      </c>
      <c r="H698" s="65">
        <v>44946</v>
      </c>
      <c r="I698" s="65">
        <v>45219</v>
      </c>
      <c r="J698" s="66">
        <f t="shared" si="36"/>
        <v>274</v>
      </c>
      <c r="O698" s="70" t="s">
        <v>50</v>
      </c>
      <c r="P698" s="67"/>
      <c r="Q698" s="75"/>
      <c r="R698" s="69" t="str">
        <f t="shared" si="35"/>
        <v/>
      </c>
      <c r="S698" s="70"/>
      <c r="T698" s="76"/>
      <c r="U698" s="76"/>
      <c r="V698" s="70"/>
      <c r="W698" s="70" t="s">
        <v>51</v>
      </c>
      <c r="X698" s="70" t="s">
        <v>51</v>
      </c>
      <c r="Y698" s="70" t="s">
        <v>51</v>
      </c>
      <c r="Z698" s="70" t="s">
        <v>1053</v>
      </c>
      <c r="AA698" s="74" t="s">
        <v>52</v>
      </c>
      <c r="AB698" s="74" t="s">
        <v>52</v>
      </c>
      <c r="AC698" s="74" t="s">
        <v>52</v>
      </c>
      <c r="AD698" s="74" t="s">
        <v>52</v>
      </c>
      <c r="AE698" s="74" t="s">
        <v>1054</v>
      </c>
      <c r="AF698" s="74" t="s">
        <v>1054</v>
      </c>
    </row>
    <row r="699" ht="30" spans="1:33">
      <c r="A699" s="19" t="s">
        <v>1046</v>
      </c>
      <c r="B699" s="4">
        <v>1090002</v>
      </c>
      <c r="C699" s="63">
        <v>44</v>
      </c>
      <c r="D699" s="70" t="s">
        <v>48</v>
      </c>
      <c r="E699" s="33"/>
      <c r="F699" s="4" t="s">
        <v>1047</v>
      </c>
      <c r="G699" s="65" t="s">
        <v>1055</v>
      </c>
      <c r="H699" s="65">
        <v>44933</v>
      </c>
      <c r="I699" s="65" t="s">
        <v>1055</v>
      </c>
      <c r="J699" s="66" t="e">
        <f t="shared" si="36"/>
        <v>#VALUE!</v>
      </c>
      <c r="O699" s="70" t="s">
        <v>50</v>
      </c>
      <c r="P699" s="67"/>
      <c r="Q699" s="75"/>
      <c r="R699" s="69" t="str">
        <f t="shared" si="35"/>
        <v/>
      </c>
      <c r="S699" s="70"/>
      <c r="T699" s="76"/>
      <c r="U699" s="76"/>
      <c r="V699" s="70"/>
      <c r="W699" s="70" t="s">
        <v>51</v>
      </c>
      <c r="X699" s="70"/>
      <c r="Y699" s="70"/>
      <c r="Z699" s="70"/>
      <c r="AA699" s="74"/>
      <c r="AB699" s="74"/>
      <c r="AC699" s="74"/>
      <c r="AD699" s="74"/>
      <c r="AE699" s="74"/>
      <c r="AF699" s="74"/>
      <c r="AG699" s="9" t="s">
        <v>123</v>
      </c>
    </row>
    <row r="700" ht="30" spans="1:33">
      <c r="A700" s="19" t="s">
        <v>1046</v>
      </c>
      <c r="B700" s="4">
        <v>1090001</v>
      </c>
      <c r="C700" s="63">
        <v>23</v>
      </c>
      <c r="D700" s="70" t="s">
        <v>48</v>
      </c>
      <c r="E700" s="33"/>
      <c r="F700" s="4" t="s">
        <v>1047</v>
      </c>
      <c r="G700" s="65">
        <v>45092</v>
      </c>
      <c r="H700" s="65">
        <v>44903</v>
      </c>
      <c r="I700" s="65">
        <v>45092</v>
      </c>
      <c r="J700" s="66">
        <f t="shared" si="36"/>
        <v>190</v>
      </c>
      <c r="O700" s="70" t="s">
        <v>50</v>
      </c>
      <c r="P700" s="67"/>
      <c r="Q700" s="75"/>
      <c r="R700" s="69" t="str">
        <f t="shared" si="35"/>
        <v/>
      </c>
      <c r="S700" s="70"/>
      <c r="T700" s="76"/>
      <c r="U700" s="76"/>
      <c r="V700" s="70"/>
      <c r="W700" s="70" t="s">
        <v>51</v>
      </c>
      <c r="X700" s="70" t="s">
        <v>51</v>
      </c>
      <c r="Y700" s="70" t="s">
        <v>51</v>
      </c>
      <c r="Z700" s="70" t="s">
        <v>403</v>
      </c>
      <c r="AA700" s="74" t="s">
        <v>52</v>
      </c>
      <c r="AB700" s="74" t="s">
        <v>52</v>
      </c>
      <c r="AC700" s="74" t="s">
        <v>52</v>
      </c>
      <c r="AD700" s="74" t="s">
        <v>52</v>
      </c>
      <c r="AE700" s="74"/>
      <c r="AF700" s="74"/>
    </row>
    <row r="701" ht="30" spans="1:33">
      <c r="A701" s="19" t="s">
        <v>1046</v>
      </c>
      <c r="B701" s="4" t="s">
        <v>1056</v>
      </c>
      <c r="C701" s="63">
        <v>33</v>
      </c>
      <c r="D701" s="70" t="s">
        <v>48</v>
      </c>
      <c r="E701" s="33"/>
      <c r="F701" s="4" t="s">
        <v>1057</v>
      </c>
      <c r="G701" s="65">
        <v>45667</v>
      </c>
      <c r="H701" s="65">
        <v>45482</v>
      </c>
      <c r="I701" s="65">
        <v>45667</v>
      </c>
      <c r="J701" s="66">
        <f t="shared" si="36"/>
        <v>186</v>
      </c>
      <c r="O701" s="70" t="s">
        <v>50</v>
      </c>
      <c r="P701" s="67"/>
      <c r="Q701" s="75"/>
      <c r="R701" s="69" t="str">
        <f t="shared" si="35"/>
        <v/>
      </c>
      <c r="S701" s="70"/>
      <c r="T701" s="76"/>
      <c r="U701" s="76"/>
      <c r="V701" s="70"/>
      <c r="W701" s="70" t="s">
        <v>51</v>
      </c>
      <c r="X701" s="70" t="s">
        <v>51</v>
      </c>
      <c r="Y701" s="70" t="s">
        <v>403</v>
      </c>
      <c r="Z701" s="70" t="s">
        <v>403</v>
      </c>
      <c r="AA701" s="74" t="s">
        <v>52</v>
      </c>
      <c r="AB701" s="74" t="s">
        <v>52</v>
      </c>
      <c r="AC701" s="74"/>
      <c r="AD701" s="74"/>
      <c r="AE701" s="74"/>
      <c r="AF701" s="74"/>
    </row>
    <row r="702" ht="30" spans="1:33">
      <c r="A702" s="19" t="s">
        <v>1046</v>
      </c>
      <c r="B702" s="4" t="s">
        <v>1058</v>
      </c>
      <c r="C702" s="63">
        <v>15</v>
      </c>
      <c r="D702" s="70" t="s">
        <v>54</v>
      </c>
      <c r="E702" s="33"/>
      <c r="F702" s="4" t="s">
        <v>1052</v>
      </c>
      <c r="G702" s="65"/>
      <c r="H702" s="65">
        <v>45871</v>
      </c>
      <c r="I702" s="65" t="s">
        <v>1059</v>
      </c>
      <c r="J702" s="66" t="e">
        <f t="shared" si="36"/>
        <v>#VALUE!</v>
      </c>
      <c r="O702" s="70" t="s">
        <v>50</v>
      </c>
      <c r="P702" s="67"/>
      <c r="Q702" s="75"/>
      <c r="R702" s="69" t="str">
        <f t="shared" si="35"/>
        <v/>
      </c>
      <c r="S702" s="70"/>
      <c r="T702" s="76"/>
      <c r="U702" s="76"/>
      <c r="V702" s="70"/>
      <c r="W702" s="70" t="s">
        <v>51</v>
      </c>
      <c r="X702" s="70"/>
      <c r="Y702" s="70"/>
      <c r="Z702" s="70"/>
      <c r="AA702" s="74"/>
      <c r="AB702" s="74"/>
      <c r="AC702" s="74"/>
      <c r="AD702" s="74"/>
      <c r="AE702" s="74"/>
      <c r="AF702" s="74"/>
    </row>
    <row r="703" ht="103.5" spans="1:33">
      <c r="A703" s="19" t="s">
        <v>1046</v>
      </c>
      <c r="B703" s="4" t="s">
        <v>1060</v>
      </c>
      <c r="C703" s="63">
        <v>36</v>
      </c>
      <c r="D703" s="70" t="s">
        <v>48</v>
      </c>
      <c r="E703" s="33"/>
      <c r="F703" s="4" t="s">
        <v>1061</v>
      </c>
      <c r="G703" s="65"/>
      <c r="H703" s="65">
        <v>46007</v>
      </c>
      <c r="I703" s="65" t="s">
        <v>1059</v>
      </c>
      <c r="J703" s="66" t="e">
        <f t="shared" si="36"/>
        <v>#VALUE!</v>
      </c>
      <c r="O703" s="70" t="s">
        <v>50</v>
      </c>
      <c r="P703" s="67"/>
      <c r="Q703" s="75"/>
      <c r="R703" s="69" t="str">
        <f t="shared" si="35"/>
        <v/>
      </c>
      <c r="S703" s="70"/>
      <c r="T703" s="76"/>
      <c r="U703" s="76"/>
      <c r="V703" s="70"/>
      <c r="W703" s="70" t="s">
        <v>1048</v>
      </c>
      <c r="X703" s="70"/>
      <c r="Y703" s="70"/>
      <c r="Z703" s="70"/>
      <c r="AA703" s="74"/>
      <c r="AB703" s="74"/>
      <c r="AC703" s="74"/>
      <c r="AD703" s="74"/>
      <c r="AE703" s="74"/>
      <c r="AF703" s="74"/>
    </row>
    <row r="704" ht="27" spans="1:33">
      <c r="A704" s="19" t="s">
        <v>1062</v>
      </c>
      <c r="B704" s="4" t="s">
        <v>1063</v>
      </c>
      <c r="C704" s="63" t="s">
        <v>1064</v>
      </c>
      <c r="D704" s="70" t="s">
        <v>48</v>
      </c>
      <c r="E704" s="33"/>
      <c r="F704" s="4" t="s">
        <v>82</v>
      </c>
      <c r="G704" s="65"/>
      <c r="H704" s="65">
        <v>45286</v>
      </c>
      <c r="I704" s="65">
        <v>45560</v>
      </c>
      <c r="J704" s="66">
        <f t="shared" si="36"/>
        <v>275</v>
      </c>
      <c r="O704" s="70" t="s">
        <v>51</v>
      </c>
      <c r="P704" s="67"/>
      <c r="Q704" s="75"/>
      <c r="R704" s="69" t="str">
        <f t="shared" si="35"/>
        <v/>
      </c>
      <c r="S704" s="70"/>
      <c r="T704" s="76"/>
      <c r="U704" s="76"/>
      <c r="V704" s="70"/>
      <c r="W704" s="70" t="s">
        <v>51</v>
      </c>
      <c r="X704" s="70" t="s">
        <v>51</v>
      </c>
      <c r="Y704" s="70" t="s">
        <v>51</v>
      </c>
      <c r="Z704" s="70" t="s">
        <v>51</v>
      </c>
      <c r="AA704" s="74" t="s">
        <v>397</v>
      </c>
      <c r="AB704" s="74" t="s">
        <v>397</v>
      </c>
      <c r="AC704" s="74" t="s">
        <v>397</v>
      </c>
      <c r="AD704" s="74" t="s">
        <v>397</v>
      </c>
      <c r="AE704" s="74" t="s">
        <v>397</v>
      </c>
      <c r="AF704" s="77" t="s">
        <v>1065</v>
      </c>
    </row>
    <row r="705" ht="27" spans="1:32">
      <c r="A705" s="19" t="s">
        <v>1062</v>
      </c>
      <c r="B705" s="4" t="s">
        <v>1066</v>
      </c>
      <c r="C705" s="63" t="s">
        <v>1067</v>
      </c>
      <c r="D705" s="70" t="s">
        <v>48</v>
      </c>
      <c r="E705" s="33"/>
      <c r="F705" s="4" t="s">
        <v>49</v>
      </c>
      <c r="G705" s="65">
        <v>45170</v>
      </c>
      <c r="H705" s="65">
        <v>44993</v>
      </c>
      <c r="I705" s="65">
        <v>45177</v>
      </c>
      <c r="J705" s="66">
        <f t="shared" ref="J705:J725" si="37">IF(AND(H705&lt;&gt;"",I705&lt;&gt;""),I705-H705+1,"")</f>
        <v>185</v>
      </c>
      <c r="O705" s="70" t="s">
        <v>50</v>
      </c>
      <c r="P705" s="67"/>
      <c r="Q705" s="75"/>
      <c r="R705" s="69" t="str">
        <f t="shared" si="35"/>
        <v/>
      </c>
      <c r="S705" s="70"/>
      <c r="T705" s="76"/>
      <c r="U705" s="76"/>
      <c r="V705" s="70"/>
      <c r="W705" s="70" t="s">
        <v>51</v>
      </c>
      <c r="X705" s="70" t="s">
        <v>51</v>
      </c>
      <c r="Y705" s="70" t="s">
        <v>51</v>
      </c>
      <c r="Z705" s="70" t="s">
        <v>51</v>
      </c>
      <c r="AA705" s="74" t="s">
        <v>397</v>
      </c>
      <c r="AB705" s="74" t="s">
        <v>397</v>
      </c>
      <c r="AC705" s="74" t="s">
        <v>397</v>
      </c>
      <c r="AD705" s="74" t="s">
        <v>397</v>
      </c>
      <c r="AE705" s="74" t="s">
        <v>397</v>
      </c>
      <c r="AF705" s="74" t="s">
        <v>397</v>
      </c>
    </row>
    <row r="706" ht="27" spans="1:32">
      <c r="A706" s="19" t="s">
        <v>1062</v>
      </c>
      <c r="B706" s="4" t="s">
        <v>1068</v>
      </c>
      <c r="C706" s="63" t="s">
        <v>1069</v>
      </c>
      <c r="D706" s="70" t="s">
        <v>48</v>
      </c>
      <c r="E706" s="33"/>
      <c r="F706" s="4" t="s">
        <v>49</v>
      </c>
      <c r="G706" s="65">
        <v>45170</v>
      </c>
      <c r="H706" s="65">
        <v>44982</v>
      </c>
      <c r="I706" s="65">
        <v>45258</v>
      </c>
      <c r="J706" s="66">
        <f t="shared" si="37"/>
        <v>277</v>
      </c>
      <c r="O706" s="70" t="s">
        <v>50</v>
      </c>
      <c r="P706" s="67"/>
      <c r="Q706" s="75"/>
      <c r="R706" s="69" t="str">
        <f t="shared" si="35"/>
        <v/>
      </c>
      <c r="S706" s="70"/>
      <c r="T706" s="76"/>
      <c r="U706" s="76"/>
      <c r="V706" s="70"/>
      <c r="W706" s="70" t="s">
        <v>50</v>
      </c>
      <c r="X706" s="70" t="s">
        <v>51</v>
      </c>
      <c r="Y706" s="70" t="s">
        <v>51</v>
      </c>
      <c r="Z706" s="70" t="s">
        <v>51</v>
      </c>
      <c r="AA706" s="74" t="s">
        <v>397</v>
      </c>
      <c r="AB706" s="74" t="s">
        <v>397</v>
      </c>
      <c r="AC706" s="74" t="s">
        <v>397</v>
      </c>
      <c r="AD706" s="74" t="s">
        <v>397</v>
      </c>
      <c r="AE706" s="74" t="s">
        <v>397</v>
      </c>
      <c r="AF706" s="74" t="s">
        <v>397</v>
      </c>
    </row>
    <row r="707" ht="27" spans="1:32">
      <c r="A707" s="19" t="s">
        <v>1062</v>
      </c>
      <c r="B707" s="4" t="s">
        <v>1070</v>
      </c>
      <c r="C707" s="63" t="s">
        <v>1071</v>
      </c>
      <c r="D707" s="70" t="s">
        <v>54</v>
      </c>
      <c r="E707" s="33"/>
      <c r="F707" s="4" t="s">
        <v>49</v>
      </c>
      <c r="G707" s="65"/>
      <c r="H707" s="65">
        <v>44742</v>
      </c>
      <c r="I707" s="65">
        <v>45017</v>
      </c>
      <c r="J707" s="66">
        <f t="shared" si="37"/>
        <v>276</v>
      </c>
      <c r="O707" s="70" t="s">
        <v>50</v>
      </c>
      <c r="P707" s="67"/>
      <c r="Q707" s="75"/>
      <c r="R707" s="69" t="str">
        <f t="shared" si="35"/>
        <v/>
      </c>
      <c r="S707" s="70"/>
      <c r="T707" s="76"/>
      <c r="U707" s="76"/>
      <c r="V707" s="70"/>
      <c r="W707" s="70" t="s">
        <v>51</v>
      </c>
      <c r="X707" s="70" t="s">
        <v>51</v>
      </c>
      <c r="Y707" s="70" t="s">
        <v>51</v>
      </c>
      <c r="Z707" s="70" t="s">
        <v>51</v>
      </c>
      <c r="AA707" s="74" t="s">
        <v>397</v>
      </c>
      <c r="AB707" s="74" t="s">
        <v>397</v>
      </c>
      <c r="AC707" s="74" t="s">
        <v>397</v>
      </c>
      <c r="AD707" s="74" t="s">
        <v>397</v>
      </c>
      <c r="AE707" s="74" t="s">
        <v>397</v>
      </c>
      <c r="AF707" s="74" t="s">
        <v>397</v>
      </c>
    </row>
    <row r="708" ht="27" spans="1:32">
      <c r="A708" s="19" t="s">
        <v>1062</v>
      </c>
      <c r="B708" s="4" t="s">
        <v>1072</v>
      </c>
      <c r="C708" s="63" t="s">
        <v>1073</v>
      </c>
      <c r="D708" s="70" t="s">
        <v>48</v>
      </c>
      <c r="E708" s="33"/>
      <c r="F708" s="4" t="s">
        <v>49</v>
      </c>
      <c r="G708" s="65">
        <v>45197</v>
      </c>
      <c r="H708" s="65">
        <v>45014</v>
      </c>
      <c r="I708" s="65">
        <v>45289</v>
      </c>
      <c r="J708" s="66">
        <f t="shared" si="37"/>
        <v>276</v>
      </c>
      <c r="O708" s="70" t="s">
        <v>50</v>
      </c>
      <c r="P708" s="67"/>
      <c r="Q708" s="75"/>
      <c r="R708" s="69" t="str">
        <f t="shared" si="35"/>
        <v/>
      </c>
      <c r="S708" s="70"/>
      <c r="T708" s="76"/>
      <c r="U708" s="76"/>
      <c r="V708" s="70"/>
      <c r="W708" s="70" t="s">
        <v>51</v>
      </c>
      <c r="X708" s="70" t="s">
        <v>51</v>
      </c>
      <c r="Y708" s="70" t="s">
        <v>51</v>
      </c>
      <c r="Z708" s="70" t="s">
        <v>51</v>
      </c>
      <c r="AA708" s="74" t="s">
        <v>397</v>
      </c>
      <c r="AB708" s="74" t="s">
        <v>397</v>
      </c>
      <c r="AC708" s="74" t="s">
        <v>397</v>
      </c>
      <c r="AD708" s="74" t="s">
        <v>397</v>
      </c>
      <c r="AE708" s="74" t="s">
        <v>397</v>
      </c>
      <c r="AF708" s="74" t="s">
        <v>397</v>
      </c>
    </row>
    <row r="709" ht="27" spans="1:32">
      <c r="A709" s="19" t="s">
        <v>1062</v>
      </c>
      <c r="B709" s="4" t="s">
        <v>1074</v>
      </c>
      <c r="C709" s="63" t="s">
        <v>1075</v>
      </c>
      <c r="D709" s="70" t="s">
        <v>48</v>
      </c>
      <c r="E709" s="33"/>
      <c r="F709" s="4" t="s">
        <v>49</v>
      </c>
      <c r="G709" s="65">
        <v>45170</v>
      </c>
      <c r="H709" s="65">
        <v>45001</v>
      </c>
      <c r="I709" s="65">
        <v>45185</v>
      </c>
      <c r="J709" s="66">
        <f t="shared" si="37"/>
        <v>185</v>
      </c>
      <c r="O709" s="70" t="s">
        <v>50</v>
      </c>
      <c r="P709" s="67"/>
      <c r="Q709" s="75"/>
      <c r="R709" s="69" t="str">
        <f t="shared" si="35"/>
        <v/>
      </c>
      <c r="S709" s="70"/>
      <c r="T709" s="76"/>
      <c r="U709" s="76"/>
      <c r="V709" s="70"/>
      <c r="W709" s="70" t="s">
        <v>51</v>
      </c>
      <c r="X709" s="70" t="s">
        <v>51</v>
      </c>
      <c r="Y709" s="70" t="s">
        <v>51</v>
      </c>
      <c r="Z709" s="70" t="s">
        <v>51</v>
      </c>
      <c r="AA709" s="74" t="s">
        <v>397</v>
      </c>
      <c r="AB709" s="74" t="s">
        <v>397</v>
      </c>
      <c r="AC709" s="74" t="s">
        <v>397</v>
      </c>
      <c r="AD709" s="74" t="s">
        <v>397</v>
      </c>
      <c r="AE709" s="74" t="s">
        <v>397</v>
      </c>
      <c r="AF709" s="74" t="s">
        <v>397</v>
      </c>
    </row>
    <row r="710" ht="27" spans="1:32">
      <c r="A710" s="19" t="s">
        <v>1062</v>
      </c>
      <c r="B710" s="4" t="s">
        <v>1076</v>
      </c>
      <c r="C710" s="63" t="s">
        <v>899</v>
      </c>
      <c r="D710" s="70" t="s">
        <v>54</v>
      </c>
      <c r="E710" s="33"/>
      <c r="F710" s="4" t="s">
        <v>78</v>
      </c>
      <c r="G710" s="65"/>
      <c r="H710" s="65">
        <v>45015</v>
      </c>
      <c r="I710" s="65">
        <v>45290</v>
      </c>
      <c r="J710" s="66">
        <f t="shared" si="37"/>
        <v>276</v>
      </c>
      <c r="O710" s="70" t="s">
        <v>50</v>
      </c>
      <c r="P710" s="67"/>
      <c r="Q710" s="75"/>
      <c r="R710" s="69" t="str">
        <f t="shared" si="35"/>
        <v/>
      </c>
      <c r="S710" s="70"/>
      <c r="T710" s="76"/>
      <c r="U710" s="76"/>
      <c r="V710" s="70"/>
      <c r="W710" s="70" t="s">
        <v>51</v>
      </c>
      <c r="X710" s="70" t="s">
        <v>51</v>
      </c>
      <c r="Y710" s="70" t="s">
        <v>51</v>
      </c>
      <c r="Z710" s="70" t="s">
        <v>51</v>
      </c>
      <c r="AA710" s="74" t="s">
        <v>397</v>
      </c>
      <c r="AB710" s="74" t="s">
        <v>397</v>
      </c>
      <c r="AC710" s="74" t="s">
        <v>397</v>
      </c>
      <c r="AD710" s="74" t="s">
        <v>397</v>
      </c>
      <c r="AE710" s="74" t="s">
        <v>397</v>
      </c>
      <c r="AF710" s="74" t="s">
        <v>397</v>
      </c>
    </row>
    <row r="711" ht="27" spans="1:32">
      <c r="A711" s="19" t="s">
        <v>1062</v>
      </c>
      <c r="B711" s="4" t="s">
        <v>1077</v>
      </c>
      <c r="C711" s="63" t="s">
        <v>925</v>
      </c>
      <c r="D711" s="70" t="s">
        <v>54</v>
      </c>
      <c r="E711" s="33"/>
      <c r="F711" s="4" t="s">
        <v>49</v>
      </c>
      <c r="G711" s="65">
        <v>45210</v>
      </c>
      <c r="H711" s="65">
        <v>45022</v>
      </c>
      <c r="I711" s="65">
        <v>45303</v>
      </c>
      <c r="J711" s="66">
        <f t="shared" si="37"/>
        <v>282</v>
      </c>
      <c r="O711" s="70" t="s">
        <v>50</v>
      </c>
      <c r="P711" s="67"/>
      <c r="Q711" s="75"/>
      <c r="R711" s="69" t="str">
        <f t="shared" si="35"/>
        <v/>
      </c>
      <c r="S711" s="70"/>
      <c r="T711" s="76"/>
      <c r="U711" s="76"/>
      <c r="V711" s="70"/>
      <c r="W711" s="70" t="s">
        <v>50</v>
      </c>
      <c r="X711" s="70" t="s">
        <v>51</v>
      </c>
      <c r="Y711" s="70" t="s">
        <v>51</v>
      </c>
      <c r="Z711" s="70" t="s">
        <v>51</v>
      </c>
      <c r="AA711" s="74" t="s">
        <v>397</v>
      </c>
      <c r="AB711" s="74" t="s">
        <v>397</v>
      </c>
      <c r="AC711" s="74" t="s">
        <v>397</v>
      </c>
      <c r="AD711" s="74" t="s">
        <v>397</v>
      </c>
      <c r="AE711" s="74" t="s">
        <v>397</v>
      </c>
      <c r="AF711" s="74" t="s">
        <v>397</v>
      </c>
    </row>
    <row r="712" ht="27" spans="1:32">
      <c r="A712" s="19" t="s">
        <v>1062</v>
      </c>
      <c r="B712" s="4" t="s">
        <v>1078</v>
      </c>
      <c r="C712" s="63" t="s">
        <v>1079</v>
      </c>
      <c r="D712" s="70" t="s">
        <v>48</v>
      </c>
      <c r="E712" s="33"/>
      <c r="F712" s="4" t="s">
        <v>49</v>
      </c>
      <c r="G712" s="65">
        <v>45179</v>
      </c>
      <c r="H712" s="65">
        <v>45008</v>
      </c>
      <c r="I712" s="65">
        <v>45303</v>
      </c>
      <c r="J712" s="66">
        <f t="shared" si="37"/>
        <v>296</v>
      </c>
      <c r="O712" s="70" t="s">
        <v>50</v>
      </c>
      <c r="P712" s="67"/>
      <c r="Q712" s="75"/>
      <c r="R712" s="69" t="str">
        <f t="shared" si="35"/>
        <v/>
      </c>
      <c r="S712" s="70"/>
      <c r="T712" s="76"/>
      <c r="U712" s="76"/>
      <c r="V712" s="70"/>
      <c r="W712" s="70" t="s">
        <v>51</v>
      </c>
      <c r="X712" s="70" t="s">
        <v>51</v>
      </c>
      <c r="Y712" s="70" t="s">
        <v>51</v>
      </c>
      <c r="Z712" s="70" t="s">
        <v>51</v>
      </c>
      <c r="AA712" s="74" t="s">
        <v>397</v>
      </c>
      <c r="AB712" s="74" t="s">
        <v>397</v>
      </c>
      <c r="AC712" s="74" t="s">
        <v>397</v>
      </c>
      <c r="AD712" s="74" t="s">
        <v>397</v>
      </c>
      <c r="AE712" s="74" t="s">
        <v>397</v>
      </c>
      <c r="AF712" s="74" t="s">
        <v>397</v>
      </c>
    </row>
    <row r="713" ht="28.5" spans="1:32">
      <c r="A713" s="19" t="s">
        <v>1062</v>
      </c>
      <c r="B713" s="4" t="s">
        <v>1080</v>
      </c>
      <c r="C713" s="63" t="s">
        <v>918</v>
      </c>
      <c r="D713" s="70" t="s">
        <v>48</v>
      </c>
      <c r="E713" s="33"/>
      <c r="F713" s="4" t="s">
        <v>82</v>
      </c>
      <c r="G713" s="65"/>
      <c r="H713" s="65">
        <v>45039</v>
      </c>
      <c r="I713" s="65" t="s">
        <v>1081</v>
      </c>
      <c r="J713" s="66" t="e">
        <f t="shared" si="37"/>
        <v>#VALUE!</v>
      </c>
      <c r="O713" s="70" t="s">
        <v>50</v>
      </c>
      <c r="P713" s="67"/>
      <c r="Q713" s="75"/>
      <c r="R713" s="69" t="str">
        <f t="shared" si="35"/>
        <v/>
      </c>
      <c r="S713" s="70"/>
      <c r="T713" s="76"/>
      <c r="U713" s="76"/>
      <c r="V713" s="70"/>
      <c r="W713" s="70" t="s">
        <v>51</v>
      </c>
      <c r="X713" s="78" t="s">
        <v>1082</v>
      </c>
      <c r="Y713" s="78" t="s">
        <v>1082</v>
      </c>
      <c r="Z713" s="78" t="s">
        <v>1082</v>
      </c>
      <c r="AA713" s="79" t="s">
        <v>1082</v>
      </c>
      <c r="AB713" s="79" t="s">
        <v>1082</v>
      </c>
      <c r="AC713" s="79" t="s">
        <v>582</v>
      </c>
      <c r="AD713" s="79" t="s">
        <v>582</v>
      </c>
      <c r="AE713" s="79" t="s">
        <v>1082</v>
      </c>
      <c r="AF713" s="79" t="s">
        <v>1082</v>
      </c>
    </row>
    <row r="714" ht="27" spans="1:32">
      <c r="A714" s="19" t="s">
        <v>1062</v>
      </c>
      <c r="B714" s="4" t="s">
        <v>1083</v>
      </c>
      <c r="C714" s="63" t="s">
        <v>1079</v>
      </c>
      <c r="D714" s="70" t="s">
        <v>54</v>
      </c>
      <c r="E714" s="33"/>
      <c r="F714" s="4" t="s">
        <v>82</v>
      </c>
      <c r="G714" s="65">
        <v>44959</v>
      </c>
      <c r="H714" s="65">
        <v>44778</v>
      </c>
      <c r="I714" s="65">
        <v>44960</v>
      </c>
      <c r="J714" s="66">
        <f t="shared" si="37"/>
        <v>183</v>
      </c>
      <c r="O714" s="70" t="s">
        <v>51</v>
      </c>
      <c r="P714" s="67"/>
      <c r="Q714" s="75"/>
      <c r="R714" s="69" t="str">
        <f t="shared" si="35"/>
        <v/>
      </c>
      <c r="S714" s="70"/>
      <c r="T714" s="76"/>
      <c r="U714" s="76"/>
      <c r="V714" s="70"/>
      <c r="W714" s="70" t="s">
        <v>51</v>
      </c>
      <c r="X714" s="70" t="s">
        <v>51</v>
      </c>
      <c r="Y714" s="70" t="s">
        <v>51</v>
      </c>
      <c r="Z714" s="70" t="s">
        <v>51</v>
      </c>
      <c r="AA714" s="74" t="s">
        <v>397</v>
      </c>
      <c r="AB714" s="74" t="s">
        <v>397</v>
      </c>
      <c r="AC714" s="74" t="s">
        <v>397</v>
      </c>
      <c r="AD714" s="74" t="s">
        <v>397</v>
      </c>
      <c r="AE714" s="74" t="s">
        <v>397</v>
      </c>
      <c r="AF714" s="74" t="s">
        <v>397</v>
      </c>
    </row>
    <row r="715" ht="27" spans="1:32">
      <c r="A715" s="19" t="s">
        <v>1062</v>
      </c>
      <c r="B715" s="4" t="s">
        <v>1084</v>
      </c>
      <c r="C715" s="63" t="s">
        <v>1085</v>
      </c>
      <c r="D715" s="70" t="s">
        <v>54</v>
      </c>
      <c r="E715" s="33"/>
      <c r="F715" s="4" t="s">
        <v>49</v>
      </c>
      <c r="G715" s="65">
        <v>44974</v>
      </c>
      <c r="H715" s="65">
        <v>44814</v>
      </c>
      <c r="I715" s="65">
        <v>45002</v>
      </c>
      <c r="J715" s="66">
        <f t="shared" si="37"/>
        <v>189</v>
      </c>
      <c r="O715" s="70" t="s">
        <v>51</v>
      </c>
      <c r="P715" s="67"/>
      <c r="Q715" s="75"/>
      <c r="R715" s="69" t="str">
        <f t="shared" si="35"/>
        <v/>
      </c>
      <c r="S715" s="70"/>
      <c r="T715" s="76"/>
      <c r="U715" s="76"/>
      <c r="V715" s="70"/>
      <c r="W715" s="70" t="s">
        <v>51</v>
      </c>
      <c r="X715" s="70" t="s">
        <v>51</v>
      </c>
      <c r="Y715" s="70" t="s">
        <v>51</v>
      </c>
      <c r="Z715" s="70" t="s">
        <v>51</v>
      </c>
      <c r="AA715" s="74" t="s">
        <v>397</v>
      </c>
      <c r="AB715" s="74" t="s">
        <v>397</v>
      </c>
      <c r="AC715" s="74" t="s">
        <v>397</v>
      </c>
      <c r="AD715" s="74" t="s">
        <v>397</v>
      </c>
      <c r="AE715" s="74" t="s">
        <v>397</v>
      </c>
      <c r="AF715" s="74" t="s">
        <v>397</v>
      </c>
    </row>
    <row r="716" spans="1:32">
      <c r="A716" s="19" t="s">
        <v>1086</v>
      </c>
      <c r="B716" s="63" t="s">
        <v>1087</v>
      </c>
      <c r="C716" s="63">
        <v>39</v>
      </c>
      <c r="D716" s="70" t="s">
        <v>48</v>
      </c>
      <c r="E716" s="33"/>
      <c r="F716" s="63" t="s">
        <v>49</v>
      </c>
      <c r="G716" s="65"/>
      <c r="H716" s="65">
        <v>45457</v>
      </c>
      <c r="I716" s="65">
        <v>45641</v>
      </c>
      <c r="J716" s="66">
        <f t="shared" si="37"/>
        <v>185</v>
      </c>
      <c r="O716" s="70" t="s">
        <v>172</v>
      </c>
      <c r="P716" s="67"/>
      <c r="Q716" s="75"/>
      <c r="R716" s="69" t="str">
        <f t="shared" si="35"/>
        <v/>
      </c>
      <c r="S716" s="70"/>
      <c r="T716" s="76"/>
      <c r="U716" s="76"/>
      <c r="V716" s="70"/>
      <c r="W716" s="70" t="s">
        <v>166</v>
      </c>
      <c r="X716" s="70" t="s">
        <v>166</v>
      </c>
      <c r="Y716" s="70" t="s">
        <v>166</v>
      </c>
      <c r="Z716" s="70" t="s">
        <v>166</v>
      </c>
      <c r="AA716" s="74" t="s">
        <v>52</v>
      </c>
      <c r="AB716" s="74"/>
      <c r="AC716" s="74" t="s">
        <v>52</v>
      </c>
      <c r="AD716" s="74"/>
      <c r="AE716" s="74" t="s">
        <v>52</v>
      </c>
      <c r="AF716" s="74"/>
    </row>
    <row r="717" spans="1:32">
      <c r="A717" s="19" t="s">
        <v>1086</v>
      </c>
      <c r="B717" s="63" t="s">
        <v>1088</v>
      </c>
      <c r="C717" s="63">
        <v>41</v>
      </c>
      <c r="D717" s="70" t="s">
        <v>54</v>
      </c>
      <c r="E717" s="33"/>
      <c r="F717" s="63" t="s">
        <v>49</v>
      </c>
      <c r="G717" s="65"/>
      <c r="H717" s="65">
        <v>45447</v>
      </c>
      <c r="I717" s="65">
        <v>45632</v>
      </c>
      <c r="J717" s="66">
        <f t="shared" si="37"/>
        <v>186</v>
      </c>
      <c r="O717" s="70" t="s">
        <v>172</v>
      </c>
      <c r="P717" s="67"/>
      <c r="Q717" s="75"/>
      <c r="R717" s="69" t="str">
        <f t="shared" si="35"/>
        <v/>
      </c>
      <c r="S717" s="70"/>
      <c r="T717" s="76"/>
      <c r="U717" s="76"/>
      <c r="V717" s="70"/>
      <c r="W717" s="70" t="s">
        <v>166</v>
      </c>
      <c r="X717" s="70" t="s">
        <v>166</v>
      </c>
      <c r="Y717" s="70" t="s">
        <v>166</v>
      </c>
      <c r="Z717" s="70" t="s">
        <v>166</v>
      </c>
      <c r="AA717" s="74" t="s">
        <v>52</v>
      </c>
      <c r="AB717" s="74"/>
      <c r="AC717" s="74" t="s">
        <v>52</v>
      </c>
      <c r="AD717" s="74"/>
      <c r="AE717" s="74" t="s">
        <v>52</v>
      </c>
      <c r="AF717" s="74"/>
    </row>
    <row r="718" spans="1:32">
      <c r="A718" s="19" t="s">
        <v>1086</v>
      </c>
      <c r="B718" s="63" t="s">
        <v>1089</v>
      </c>
      <c r="C718" s="63">
        <v>36</v>
      </c>
      <c r="D718" s="70" t="s">
        <v>48</v>
      </c>
      <c r="E718" s="33"/>
      <c r="F718" s="63" t="s">
        <v>64</v>
      </c>
      <c r="G718" s="65"/>
      <c r="H718" s="65">
        <v>45434</v>
      </c>
      <c r="I718" s="65">
        <v>45719</v>
      </c>
      <c r="J718" s="66">
        <f t="shared" si="37"/>
        <v>286</v>
      </c>
      <c r="O718" s="70" t="s">
        <v>172</v>
      </c>
      <c r="P718" s="67"/>
      <c r="Q718" s="75"/>
      <c r="R718" s="69" t="str">
        <f t="shared" si="35"/>
        <v/>
      </c>
      <c r="S718" s="70"/>
      <c r="T718" s="76"/>
      <c r="U718" s="76"/>
      <c r="V718" s="70"/>
      <c r="W718" s="70" t="s">
        <v>166</v>
      </c>
      <c r="X718" s="70" t="s">
        <v>166</v>
      </c>
      <c r="Y718" s="70" t="s">
        <v>166</v>
      </c>
      <c r="Z718" s="70" t="s">
        <v>166</v>
      </c>
      <c r="AA718" s="74" t="s">
        <v>52</v>
      </c>
      <c r="AB718" s="74"/>
      <c r="AC718" s="74" t="s">
        <v>52</v>
      </c>
      <c r="AD718" s="74"/>
      <c r="AE718" s="74" t="s">
        <v>52</v>
      </c>
      <c r="AF718" s="74"/>
    </row>
    <row r="719" spans="1:32">
      <c r="A719" s="19" t="s">
        <v>1086</v>
      </c>
      <c r="B719" s="63" t="s">
        <v>1090</v>
      </c>
      <c r="C719" s="63"/>
      <c r="D719" s="70"/>
      <c r="E719" s="33"/>
      <c r="F719" s="63" t="s">
        <v>82</v>
      </c>
      <c r="G719" s="65"/>
      <c r="H719" s="65"/>
      <c r="I719" s="65"/>
      <c r="J719" s="66" t="str">
        <f t="shared" si="37"/>
        <v/>
      </c>
      <c r="O719" s="70"/>
      <c r="P719" s="67"/>
      <c r="Q719" s="75"/>
      <c r="R719" s="69" t="str">
        <f t="shared" si="35"/>
        <v/>
      </c>
      <c r="S719" s="70"/>
      <c r="T719" s="76"/>
      <c r="U719" s="76"/>
      <c r="V719" s="70"/>
      <c r="W719" s="70"/>
      <c r="X719" s="70"/>
      <c r="Y719" s="70"/>
      <c r="Z719" s="70"/>
      <c r="AA719" s="74"/>
      <c r="AB719" s="74"/>
      <c r="AC719" s="74"/>
      <c r="AD719" s="74"/>
      <c r="AE719" s="74"/>
      <c r="AF719" s="74"/>
    </row>
    <row r="720" spans="1:32">
      <c r="A720" s="19" t="s">
        <v>1086</v>
      </c>
      <c r="B720" s="63" t="s">
        <v>1091</v>
      </c>
      <c r="C720" s="63">
        <v>62</v>
      </c>
      <c r="D720" s="70" t="s">
        <v>48</v>
      </c>
      <c r="E720" s="33"/>
      <c r="F720" s="63" t="s">
        <v>64</v>
      </c>
      <c r="G720" s="65"/>
      <c r="H720" s="65">
        <v>45278</v>
      </c>
      <c r="I720" s="65">
        <v>45558</v>
      </c>
      <c r="J720" s="66">
        <f t="shared" si="37"/>
        <v>281</v>
      </c>
      <c r="O720" s="70" t="s">
        <v>172</v>
      </c>
      <c r="P720" s="67"/>
      <c r="Q720" s="75"/>
      <c r="R720" s="69" t="str">
        <f t="shared" si="35"/>
        <v/>
      </c>
      <c r="S720" s="70"/>
      <c r="T720" s="76"/>
      <c r="U720" s="76"/>
      <c r="V720" s="70"/>
      <c r="W720" s="70" t="s">
        <v>166</v>
      </c>
      <c r="X720" s="70" t="s">
        <v>166</v>
      </c>
      <c r="Y720" s="70" t="s">
        <v>166</v>
      </c>
      <c r="Z720" s="70" t="s">
        <v>1092</v>
      </c>
      <c r="AA720" s="74" t="s">
        <v>52</v>
      </c>
      <c r="AB720" s="74"/>
      <c r="AC720" s="74" t="s">
        <v>52</v>
      </c>
      <c r="AD720" s="74"/>
      <c r="AE720" s="74" t="s">
        <v>1092</v>
      </c>
      <c r="AF720" s="74"/>
    </row>
    <row r="721" spans="1:32">
      <c r="A721" s="19" t="s">
        <v>1086</v>
      </c>
      <c r="B721" s="63" t="s">
        <v>1093</v>
      </c>
      <c r="C721" s="63">
        <v>60</v>
      </c>
      <c r="D721" s="70" t="s">
        <v>48</v>
      </c>
      <c r="E721" s="33"/>
      <c r="F721" s="63" t="s">
        <v>49</v>
      </c>
      <c r="G721" s="65"/>
      <c r="H721" s="65">
        <v>45268</v>
      </c>
      <c r="I721" s="65">
        <v>45547</v>
      </c>
      <c r="J721" s="66">
        <f t="shared" si="37"/>
        <v>280</v>
      </c>
      <c r="O721" s="70" t="s">
        <v>172</v>
      </c>
      <c r="P721" s="67"/>
      <c r="Q721" s="75"/>
      <c r="R721" s="69" t="str">
        <f t="shared" si="35"/>
        <v/>
      </c>
      <c r="S721" s="70"/>
      <c r="T721" s="76"/>
      <c r="U721" s="76"/>
      <c r="V721" s="70"/>
      <c r="W721" s="70" t="s">
        <v>166</v>
      </c>
      <c r="X721" s="70" t="s">
        <v>166</v>
      </c>
      <c r="Y721" s="70" t="s">
        <v>166</v>
      </c>
      <c r="Z721" s="70" t="s">
        <v>166</v>
      </c>
      <c r="AA721" s="74" t="s">
        <v>52</v>
      </c>
      <c r="AB721" s="74"/>
      <c r="AC721" s="74" t="s">
        <v>52</v>
      </c>
      <c r="AD721" s="74"/>
      <c r="AE721" s="74" t="s">
        <v>52</v>
      </c>
      <c r="AF721" s="74"/>
    </row>
    <row r="722" spans="1:32">
      <c r="A722" s="19" t="s">
        <v>1086</v>
      </c>
      <c r="B722" s="63" t="s">
        <v>1094</v>
      </c>
      <c r="C722" s="63">
        <v>54</v>
      </c>
      <c r="D722" s="70" t="s">
        <v>54</v>
      </c>
      <c r="E722" s="33"/>
      <c r="F722" s="63" t="s">
        <v>49</v>
      </c>
      <c r="G722" s="65"/>
      <c r="H722" s="65">
        <v>44824</v>
      </c>
      <c r="I722" s="65">
        <v>45090</v>
      </c>
      <c r="J722" s="66">
        <f t="shared" si="37"/>
        <v>267</v>
      </c>
      <c r="O722" s="70" t="s">
        <v>172</v>
      </c>
      <c r="P722" s="67"/>
      <c r="Q722" s="75"/>
      <c r="R722" s="69" t="str">
        <f t="shared" si="35"/>
        <v/>
      </c>
      <c r="S722" s="70"/>
      <c r="T722" s="76"/>
      <c r="U722" s="76"/>
      <c r="V722" s="70"/>
      <c r="W722" s="70" t="s">
        <v>166</v>
      </c>
      <c r="X722" s="70" t="s">
        <v>166</v>
      </c>
      <c r="Y722" s="70" t="s">
        <v>166</v>
      </c>
      <c r="Z722" s="70" t="s">
        <v>166</v>
      </c>
      <c r="AA722" s="74" t="s">
        <v>52</v>
      </c>
      <c r="AB722" s="74"/>
      <c r="AC722" s="74" t="s">
        <v>52</v>
      </c>
      <c r="AD722" s="74"/>
      <c r="AE722" s="74" t="s">
        <v>52</v>
      </c>
      <c r="AF722" s="74"/>
    </row>
    <row r="723" spans="1:32">
      <c r="A723" s="19" t="s">
        <v>1086</v>
      </c>
      <c r="B723" s="63" t="s">
        <v>1095</v>
      </c>
      <c r="C723" s="63">
        <v>41</v>
      </c>
      <c r="D723" s="70" t="s">
        <v>48</v>
      </c>
      <c r="E723" s="33"/>
      <c r="F723" s="63" t="s">
        <v>49</v>
      </c>
      <c r="G723" s="65"/>
      <c r="H723" s="65">
        <v>44817</v>
      </c>
      <c r="I723" s="65">
        <v>45102</v>
      </c>
      <c r="J723" s="66">
        <f t="shared" si="37"/>
        <v>286</v>
      </c>
      <c r="O723" s="70" t="s">
        <v>172</v>
      </c>
      <c r="P723" s="67"/>
      <c r="Q723" s="75"/>
      <c r="R723" s="69" t="str">
        <f t="shared" si="35"/>
        <v/>
      </c>
      <c r="S723" s="70"/>
      <c r="T723" s="76"/>
      <c r="U723" s="76"/>
      <c r="V723" s="70"/>
      <c r="W723" s="70" t="s">
        <v>166</v>
      </c>
      <c r="X723" s="70" t="s">
        <v>166</v>
      </c>
      <c r="Y723" s="70" t="s">
        <v>166</v>
      </c>
      <c r="Z723" s="70" t="s">
        <v>166</v>
      </c>
      <c r="AA723" s="74" t="s">
        <v>52</v>
      </c>
      <c r="AB723" s="74"/>
      <c r="AC723" s="74" t="s">
        <v>52</v>
      </c>
      <c r="AD723" s="74"/>
      <c r="AE723" s="74" t="s">
        <v>52</v>
      </c>
      <c r="AF723" s="74"/>
    </row>
    <row r="724" spans="1:32">
      <c r="A724" s="19" t="s">
        <v>1086</v>
      </c>
      <c r="B724" s="63" t="s">
        <v>1096</v>
      </c>
      <c r="C724" s="63">
        <v>32</v>
      </c>
      <c r="D724" s="70" t="s">
        <v>48</v>
      </c>
      <c r="E724" s="33"/>
      <c r="F724" s="63" t="s">
        <v>49</v>
      </c>
      <c r="G724" s="65"/>
      <c r="H724" s="65">
        <v>44814</v>
      </c>
      <c r="I724" s="65">
        <v>45078</v>
      </c>
      <c r="J724" s="66">
        <f t="shared" si="37"/>
        <v>265</v>
      </c>
      <c r="O724" s="70" t="s">
        <v>172</v>
      </c>
      <c r="P724" s="67"/>
      <c r="Q724" s="75"/>
      <c r="R724" s="69" t="str">
        <f t="shared" si="35"/>
        <v/>
      </c>
      <c r="S724" s="70"/>
      <c r="T724" s="76"/>
      <c r="U724" s="76"/>
      <c r="V724" s="70"/>
      <c r="W724" s="70" t="s">
        <v>166</v>
      </c>
      <c r="X724" s="70" t="s">
        <v>166</v>
      </c>
      <c r="Y724" s="70" t="s">
        <v>166</v>
      </c>
      <c r="Z724" s="70" t="s">
        <v>166</v>
      </c>
      <c r="AA724" s="74" t="s">
        <v>52</v>
      </c>
      <c r="AB724" s="74"/>
      <c r="AC724" s="74" t="s">
        <v>52</v>
      </c>
      <c r="AD724" s="74"/>
      <c r="AE724" s="74" t="s">
        <v>52</v>
      </c>
      <c r="AF724" s="74"/>
    </row>
    <row r="725" spans="1:32">
      <c r="A725" s="19" t="s">
        <v>1086</v>
      </c>
      <c r="B725" s="63" t="s">
        <v>1097</v>
      </c>
      <c r="C725" s="63">
        <v>30</v>
      </c>
      <c r="D725" s="70" t="s">
        <v>48</v>
      </c>
      <c r="E725" s="33"/>
      <c r="F725" s="63" t="s">
        <v>49</v>
      </c>
      <c r="G725" s="65"/>
      <c r="H725" s="65">
        <v>44844</v>
      </c>
      <c r="I725" s="65">
        <v>45121</v>
      </c>
      <c r="J725" s="66">
        <f t="shared" si="37"/>
        <v>278</v>
      </c>
      <c r="O725" s="70" t="s">
        <v>172</v>
      </c>
      <c r="P725" s="67"/>
      <c r="Q725" s="75"/>
      <c r="R725" s="69" t="str">
        <f t="shared" si="35"/>
        <v/>
      </c>
      <c r="S725" s="70"/>
      <c r="T725" s="76"/>
      <c r="U725" s="76"/>
      <c r="V725" s="70"/>
      <c r="W725" s="70" t="s">
        <v>166</v>
      </c>
      <c r="X725" s="70" t="s">
        <v>166</v>
      </c>
      <c r="Y725" s="70" t="s">
        <v>166</v>
      </c>
      <c r="Z725" s="70" t="s">
        <v>166</v>
      </c>
      <c r="AA725" s="74" t="s">
        <v>52</v>
      </c>
      <c r="AB725" s="74"/>
      <c r="AC725" s="74" t="s">
        <v>52</v>
      </c>
      <c r="AD725" s="74"/>
      <c r="AE725" s="74" t="s">
        <v>52</v>
      </c>
      <c r="AF725" s="74"/>
    </row>
    <row r="726" ht="28.5" spans="1:32">
      <c r="A726" s="19" t="s">
        <v>1098</v>
      </c>
      <c r="B726" s="63" t="s">
        <v>1099</v>
      </c>
      <c r="C726" s="63">
        <v>33</v>
      </c>
      <c r="D726" s="70" t="s">
        <v>48</v>
      </c>
      <c r="E726" s="33"/>
      <c r="F726" s="63" t="s">
        <v>82</v>
      </c>
      <c r="G726" s="65"/>
      <c r="H726" s="65" t="s">
        <v>1100</v>
      </c>
      <c r="I726" s="65"/>
      <c r="J726" s="66"/>
      <c r="O726" s="70" t="s">
        <v>172</v>
      </c>
      <c r="P726" s="67"/>
      <c r="Q726" s="75"/>
      <c r="R726" s="69" t="str">
        <f t="shared" ref="R726:R751" si="38">IF(AND(P726&lt;&gt;"",Q726&lt;&gt;""),P726/(Q726/100)^2,"")</f>
        <v/>
      </c>
      <c r="S726" s="70"/>
      <c r="T726" s="76"/>
      <c r="U726" s="76"/>
      <c r="V726" s="70"/>
      <c r="W726" s="70" t="s">
        <v>166</v>
      </c>
      <c r="X726" s="70" t="s">
        <v>1101</v>
      </c>
      <c r="Y726" s="70"/>
      <c r="Z726" s="70"/>
      <c r="AA726" s="74" t="s">
        <v>397</v>
      </c>
      <c r="AB726" s="74"/>
      <c r="AC726" s="74"/>
      <c r="AD726" s="74"/>
      <c r="AE726" s="74"/>
      <c r="AF726" s="74"/>
    </row>
    <row r="727" ht="55.5" spans="1:32">
      <c r="A727" s="19" t="s">
        <v>1098</v>
      </c>
      <c r="B727" s="63" t="s">
        <v>1102</v>
      </c>
      <c r="C727" s="63">
        <v>67</v>
      </c>
      <c r="D727" s="70" t="s">
        <v>48</v>
      </c>
      <c r="E727" s="33"/>
      <c r="F727" s="63" t="s">
        <v>78</v>
      </c>
      <c r="G727" s="65"/>
      <c r="H727" s="65" t="s">
        <v>1103</v>
      </c>
      <c r="I727" s="65"/>
      <c r="J727" s="66" t="str">
        <f t="shared" ref="J727:J738" si="39">IF(AND(H727&lt;&gt;"",I727&lt;&gt;""),I727-H727+1,"")</f>
        <v/>
      </c>
      <c r="O727" s="70" t="s">
        <v>172</v>
      </c>
      <c r="P727" s="67"/>
      <c r="Q727" s="75"/>
      <c r="R727" s="69" t="str">
        <f t="shared" si="38"/>
        <v/>
      </c>
      <c r="S727" s="70"/>
      <c r="T727" s="76"/>
      <c r="U727" s="76"/>
      <c r="V727" s="70"/>
      <c r="W727" s="70" t="s">
        <v>172</v>
      </c>
      <c r="X727" s="70" t="s">
        <v>1104</v>
      </c>
      <c r="Y727" s="70"/>
      <c r="Z727" s="70"/>
      <c r="AA727" s="74" t="s">
        <v>397</v>
      </c>
      <c r="AB727" s="74"/>
      <c r="AC727" s="74"/>
      <c r="AD727" s="74"/>
      <c r="AE727" s="74"/>
      <c r="AF727" s="74"/>
    </row>
    <row r="728" ht="27" spans="1:32">
      <c r="A728" s="19" t="s">
        <v>1098</v>
      </c>
      <c r="B728" s="63" t="s">
        <v>1105</v>
      </c>
      <c r="C728" s="63">
        <v>34</v>
      </c>
      <c r="D728" s="70" t="s">
        <v>54</v>
      </c>
      <c r="E728" s="33"/>
      <c r="F728" s="63" t="s">
        <v>64</v>
      </c>
      <c r="G728" s="65"/>
      <c r="H728" s="65" t="s">
        <v>1106</v>
      </c>
      <c r="I728" s="65"/>
      <c r="J728" s="66" t="str">
        <f t="shared" si="39"/>
        <v/>
      </c>
      <c r="O728" s="70" t="s">
        <v>172</v>
      </c>
      <c r="P728" s="67"/>
      <c r="Q728" s="75"/>
      <c r="R728" s="69" t="str">
        <f t="shared" si="38"/>
        <v/>
      </c>
      <c r="S728" s="70"/>
      <c r="T728" s="76"/>
      <c r="U728" s="76"/>
      <c r="V728" s="70"/>
      <c r="W728" s="70" t="s">
        <v>166</v>
      </c>
      <c r="X728" s="70" t="s">
        <v>1107</v>
      </c>
      <c r="Y728" s="70"/>
      <c r="Z728" s="70"/>
      <c r="AA728" s="74" t="s">
        <v>397</v>
      </c>
      <c r="AB728" s="74"/>
      <c r="AC728" s="74"/>
      <c r="AD728" s="74"/>
      <c r="AE728" s="74"/>
      <c r="AF728" s="74"/>
    </row>
    <row r="729" ht="55.5" spans="1:32">
      <c r="A729" s="19" t="s">
        <v>1098</v>
      </c>
      <c r="B729" s="63" t="s">
        <v>1108</v>
      </c>
      <c r="C729" s="63">
        <v>70</v>
      </c>
      <c r="D729" s="70" t="s">
        <v>54</v>
      </c>
      <c r="E729" s="33"/>
      <c r="F729" s="63" t="s">
        <v>64</v>
      </c>
      <c r="G729" s="65"/>
      <c r="H729" s="65" t="s">
        <v>1109</v>
      </c>
      <c r="I729" s="65"/>
      <c r="J729" s="66" t="str">
        <f t="shared" si="39"/>
        <v/>
      </c>
      <c r="O729" s="70" t="s">
        <v>166</v>
      </c>
      <c r="P729" s="67"/>
      <c r="Q729" s="75"/>
      <c r="R729" s="69" t="str">
        <f t="shared" si="38"/>
        <v/>
      </c>
      <c r="S729" s="70"/>
      <c r="T729" s="76"/>
      <c r="U729" s="76"/>
      <c r="V729" s="70"/>
      <c r="W729" s="70" t="s">
        <v>166</v>
      </c>
      <c r="X729" s="70" t="s">
        <v>1110</v>
      </c>
      <c r="Y729" s="70"/>
      <c r="Z729" s="70"/>
      <c r="AA729" s="74" t="s">
        <v>397</v>
      </c>
      <c r="AB729" s="74"/>
      <c r="AC729" s="74"/>
      <c r="AD729" s="74"/>
      <c r="AE729" s="74"/>
      <c r="AF729" s="74"/>
    </row>
    <row r="730" ht="28.5" spans="1:32">
      <c r="A730" s="19" t="s">
        <v>1098</v>
      </c>
      <c r="B730" s="63" t="s">
        <v>1111</v>
      </c>
      <c r="C730" s="63">
        <v>53</v>
      </c>
      <c r="D730" s="70" t="s">
        <v>48</v>
      </c>
      <c r="E730" s="33"/>
      <c r="F730" s="63" t="s">
        <v>78</v>
      </c>
      <c r="G730" s="65"/>
      <c r="H730" s="65" t="s">
        <v>1112</v>
      </c>
      <c r="I730" s="65"/>
      <c r="J730" s="66" t="str">
        <f t="shared" si="39"/>
        <v/>
      </c>
      <c r="O730" s="70" t="s">
        <v>172</v>
      </c>
      <c r="P730" s="67"/>
      <c r="Q730" s="75"/>
      <c r="R730" s="69" t="str">
        <f t="shared" si="38"/>
        <v/>
      </c>
      <c r="S730" s="70"/>
      <c r="T730" s="76"/>
      <c r="U730" s="76"/>
      <c r="V730" s="70"/>
      <c r="W730" s="70" t="s">
        <v>172</v>
      </c>
      <c r="X730" s="70" t="s">
        <v>1113</v>
      </c>
      <c r="Y730" s="70"/>
      <c r="Z730" s="70"/>
      <c r="AA730" s="74" t="s">
        <v>1082</v>
      </c>
      <c r="AB730" s="74"/>
      <c r="AC730" s="74"/>
      <c r="AD730" s="74"/>
      <c r="AE730" s="74"/>
      <c r="AF730" s="74"/>
    </row>
    <row r="731" ht="28.5" spans="1:32">
      <c r="A731" s="19" t="s">
        <v>1098</v>
      </c>
      <c r="B731" s="63" t="s">
        <v>1114</v>
      </c>
      <c r="C731" s="63">
        <v>47</v>
      </c>
      <c r="D731" s="70" t="s">
        <v>48</v>
      </c>
      <c r="E731" s="33"/>
      <c r="F731" s="63" t="s">
        <v>49</v>
      </c>
      <c r="G731" s="65"/>
      <c r="H731" s="65" t="s">
        <v>1115</v>
      </c>
      <c r="I731" s="65"/>
      <c r="J731" s="66" t="str">
        <f t="shared" si="39"/>
        <v/>
      </c>
      <c r="O731" s="70" t="s">
        <v>172</v>
      </c>
      <c r="P731" s="67"/>
      <c r="Q731" s="75"/>
      <c r="R731" s="69" t="str">
        <f t="shared" si="38"/>
        <v/>
      </c>
      <c r="S731" s="70"/>
      <c r="T731" s="76"/>
      <c r="U731" s="76"/>
      <c r="V731" s="70"/>
      <c r="W731" s="70" t="s">
        <v>172</v>
      </c>
      <c r="X731" s="70" t="s">
        <v>1116</v>
      </c>
      <c r="Y731" s="70"/>
      <c r="Z731" s="70"/>
      <c r="AA731" s="74" t="s">
        <v>1082</v>
      </c>
      <c r="AB731" s="74"/>
      <c r="AC731" s="74"/>
      <c r="AD731" s="74"/>
      <c r="AE731" s="74"/>
      <c r="AF731" s="74"/>
    </row>
    <row r="732" ht="28.5" spans="1:32">
      <c r="A732" s="19" t="s">
        <v>1098</v>
      </c>
      <c r="B732" s="63" t="s">
        <v>1117</v>
      </c>
      <c r="C732" s="63">
        <v>57</v>
      </c>
      <c r="D732" s="70" t="s">
        <v>48</v>
      </c>
      <c r="E732" s="33"/>
      <c r="F732" s="63" t="s">
        <v>82</v>
      </c>
      <c r="G732" s="65"/>
      <c r="H732" s="65" t="s">
        <v>1118</v>
      </c>
      <c r="I732" s="65"/>
      <c r="J732" s="66" t="str">
        <f t="shared" si="39"/>
        <v/>
      </c>
      <c r="O732" s="70" t="s">
        <v>172</v>
      </c>
      <c r="P732" s="67"/>
      <c r="Q732" s="75"/>
      <c r="R732" s="69" t="str">
        <f t="shared" si="38"/>
        <v/>
      </c>
      <c r="S732" s="70"/>
      <c r="T732" s="76"/>
      <c r="U732" s="76"/>
      <c r="V732" s="70"/>
      <c r="W732" s="70" t="s">
        <v>166</v>
      </c>
      <c r="X732" s="70" t="s">
        <v>1119</v>
      </c>
      <c r="Y732" s="70"/>
      <c r="Z732" s="70"/>
      <c r="AA732" s="74" t="s">
        <v>397</v>
      </c>
      <c r="AB732" s="74"/>
      <c r="AC732" s="74"/>
      <c r="AD732" s="74"/>
      <c r="AE732" s="74"/>
      <c r="AF732" s="74"/>
    </row>
    <row r="733" ht="28.5" spans="1:32">
      <c r="A733" s="19" t="s">
        <v>1098</v>
      </c>
      <c r="B733" s="63" t="s">
        <v>1120</v>
      </c>
      <c r="C733" s="63">
        <v>54</v>
      </c>
      <c r="D733" s="70" t="s">
        <v>48</v>
      </c>
      <c r="E733" s="33"/>
      <c r="F733" s="63" t="s">
        <v>78</v>
      </c>
      <c r="G733" s="65"/>
      <c r="H733" s="65" t="s">
        <v>1121</v>
      </c>
      <c r="I733" s="65"/>
      <c r="J733" s="66" t="str">
        <f t="shared" si="39"/>
        <v/>
      </c>
      <c r="O733" s="70" t="s">
        <v>172</v>
      </c>
      <c r="P733" s="67"/>
      <c r="Q733" s="75"/>
      <c r="R733" s="69" t="str">
        <f t="shared" si="38"/>
        <v/>
      </c>
      <c r="S733" s="70"/>
      <c r="T733" s="76"/>
      <c r="U733" s="76"/>
      <c r="V733" s="70"/>
      <c r="W733" s="70" t="s">
        <v>172</v>
      </c>
      <c r="X733" s="70" t="s">
        <v>1122</v>
      </c>
      <c r="Y733" s="70"/>
      <c r="Z733" s="70"/>
      <c r="AA733" s="74" t="s">
        <v>1123</v>
      </c>
      <c r="AB733" s="74"/>
      <c r="AC733" s="74"/>
      <c r="AD733" s="74"/>
      <c r="AE733" s="74"/>
      <c r="AF733" s="74"/>
    </row>
    <row r="734" ht="28.5" spans="1:32">
      <c r="A734" s="19" t="s">
        <v>1098</v>
      </c>
      <c r="B734" s="63" t="s">
        <v>1124</v>
      </c>
      <c r="C734" s="63">
        <v>51</v>
      </c>
      <c r="D734" s="70" t="s">
        <v>48</v>
      </c>
      <c r="E734" s="33"/>
      <c r="F734" s="63" t="s">
        <v>49</v>
      </c>
      <c r="G734" s="65"/>
      <c r="H734" s="65" t="s">
        <v>1125</v>
      </c>
      <c r="I734" s="65"/>
      <c r="J734" s="66" t="str">
        <f t="shared" si="39"/>
        <v/>
      </c>
      <c r="O734" s="70" t="s">
        <v>172</v>
      </c>
      <c r="P734" s="67"/>
      <c r="Q734" s="75"/>
      <c r="R734" s="69" t="str">
        <f t="shared" si="38"/>
        <v/>
      </c>
      <c r="S734" s="70"/>
      <c r="T734" s="76"/>
      <c r="U734" s="76"/>
      <c r="V734" s="70"/>
      <c r="W734" s="70" t="s">
        <v>166</v>
      </c>
      <c r="X734" s="70" t="s">
        <v>1126</v>
      </c>
      <c r="Y734" s="70"/>
      <c r="Z734" s="70"/>
      <c r="AA734" s="74" t="s">
        <v>397</v>
      </c>
      <c r="AB734" s="74"/>
      <c r="AC734" s="74"/>
      <c r="AD734" s="74"/>
      <c r="AE734" s="74"/>
      <c r="AF734" s="74"/>
    </row>
    <row r="735" ht="28.5" spans="1:32">
      <c r="A735" s="19" t="s">
        <v>1098</v>
      </c>
      <c r="B735" s="63" t="s">
        <v>1127</v>
      </c>
      <c r="C735" s="63">
        <v>29</v>
      </c>
      <c r="D735" s="70" t="s">
        <v>48</v>
      </c>
      <c r="E735" s="33"/>
      <c r="F735" s="63" t="s">
        <v>82</v>
      </c>
      <c r="G735" s="65"/>
      <c r="H735" s="65" t="s">
        <v>1128</v>
      </c>
      <c r="I735" s="65"/>
      <c r="J735" s="66" t="str">
        <f t="shared" si="39"/>
        <v/>
      </c>
      <c r="O735" s="70" t="s">
        <v>172</v>
      </c>
      <c r="P735" s="67"/>
      <c r="Q735" s="75"/>
      <c r="R735" s="69" t="str">
        <f t="shared" si="38"/>
        <v/>
      </c>
      <c r="S735" s="70"/>
      <c r="T735" s="76"/>
      <c r="U735" s="76"/>
      <c r="V735" s="70"/>
      <c r="W735" s="70" t="s">
        <v>166</v>
      </c>
      <c r="X735" s="70" t="s">
        <v>1129</v>
      </c>
      <c r="Y735" s="70"/>
      <c r="Z735" s="70"/>
      <c r="AA735" s="74" t="s">
        <v>397</v>
      </c>
      <c r="AB735" s="74"/>
      <c r="AC735" s="74"/>
      <c r="AD735" s="74"/>
      <c r="AE735" s="74"/>
      <c r="AF735" s="74"/>
    </row>
    <row r="736" ht="28.5" spans="1:32">
      <c r="A736" s="19" t="s">
        <v>1098</v>
      </c>
      <c r="B736" s="63" t="s">
        <v>1130</v>
      </c>
      <c r="C736" s="63">
        <v>27</v>
      </c>
      <c r="D736" s="70" t="s">
        <v>48</v>
      </c>
      <c r="E736" s="33"/>
      <c r="F736" s="63" t="s">
        <v>64</v>
      </c>
      <c r="G736" s="65"/>
      <c r="H736" s="65" t="s">
        <v>1131</v>
      </c>
      <c r="I736" s="65"/>
      <c r="J736" s="66" t="str">
        <f t="shared" si="39"/>
        <v/>
      </c>
      <c r="O736" s="70" t="s">
        <v>172</v>
      </c>
      <c r="P736" s="67"/>
      <c r="Q736" s="75"/>
      <c r="R736" s="69" t="str">
        <f t="shared" si="38"/>
        <v/>
      </c>
      <c r="S736" s="70"/>
      <c r="T736" s="76"/>
      <c r="U736" s="76"/>
      <c r="V736" s="70"/>
      <c r="W736" s="70"/>
      <c r="X736" s="70" t="s">
        <v>1132</v>
      </c>
      <c r="Y736" s="70"/>
      <c r="Z736" s="70"/>
      <c r="AA736" s="74" t="s">
        <v>1082</v>
      </c>
      <c r="AB736" s="74"/>
      <c r="AC736" s="74"/>
      <c r="AD736" s="74"/>
      <c r="AE736" s="74"/>
      <c r="AF736" s="74"/>
    </row>
    <row r="737" ht="28.5" spans="1:33">
      <c r="A737" s="19" t="s">
        <v>1133</v>
      </c>
      <c r="B737" s="4" t="s">
        <v>1134</v>
      </c>
      <c r="C737" s="63" t="s">
        <v>1135</v>
      </c>
      <c r="D737" s="70" t="s">
        <v>48</v>
      </c>
      <c r="E737" s="33"/>
      <c r="F737" s="4" t="s">
        <v>78</v>
      </c>
      <c r="G737" s="65"/>
      <c r="H737" s="65">
        <v>45584</v>
      </c>
      <c r="I737" s="65">
        <v>45826</v>
      </c>
      <c r="J737" s="66">
        <f t="shared" si="39"/>
        <v>243</v>
      </c>
      <c r="K737" s="70"/>
      <c r="L737" s="70"/>
      <c r="M737" s="76"/>
      <c r="N737" s="70"/>
      <c r="O737" s="70" t="s">
        <v>51</v>
      </c>
      <c r="P737" s="67"/>
      <c r="Q737" s="75"/>
      <c r="R737" s="69" t="str">
        <f t="shared" si="38"/>
        <v/>
      </c>
      <c r="S737" s="70"/>
      <c r="T737" s="76"/>
      <c r="U737" s="76"/>
      <c r="V737" s="70"/>
      <c r="W737" s="70" t="s">
        <v>51</v>
      </c>
      <c r="X737" s="70" t="s">
        <v>51</v>
      </c>
      <c r="Y737" s="70" t="s">
        <v>1136</v>
      </c>
      <c r="Z737" s="70" t="s">
        <v>1137</v>
      </c>
      <c r="AA737" s="74" t="s">
        <v>397</v>
      </c>
      <c r="AB737" s="74" t="s">
        <v>397</v>
      </c>
      <c r="AC737" s="74"/>
      <c r="AD737" s="74"/>
      <c r="AE737" s="74"/>
      <c r="AF737" s="74"/>
      <c r="AG737" s="61" t="s">
        <v>1138</v>
      </c>
    </row>
    <row r="738" spans="1:33">
      <c r="A738" s="19" t="s">
        <v>1133</v>
      </c>
      <c r="B738" s="4" t="s">
        <v>1139</v>
      </c>
      <c r="C738" s="63" t="s">
        <v>864</v>
      </c>
      <c r="D738" s="70" t="s">
        <v>48</v>
      </c>
      <c r="E738" s="33"/>
      <c r="F738" s="4" t="s">
        <v>78</v>
      </c>
      <c r="G738" s="65"/>
      <c r="H738" s="65">
        <v>45603</v>
      </c>
      <c r="I738" s="65">
        <v>45717</v>
      </c>
      <c r="J738" s="66">
        <f t="shared" si="39"/>
        <v>115</v>
      </c>
      <c r="K738" s="70"/>
      <c r="L738" s="70"/>
      <c r="M738" s="76"/>
      <c r="N738" s="70"/>
      <c r="O738" s="70" t="s">
        <v>50</v>
      </c>
      <c r="P738" s="67"/>
      <c r="Q738" s="75"/>
      <c r="R738" s="69" t="str">
        <f t="shared" si="38"/>
        <v/>
      </c>
      <c r="S738" s="70"/>
      <c r="T738" s="76"/>
      <c r="U738" s="76"/>
      <c r="V738" s="70"/>
      <c r="W738" s="70" t="s">
        <v>50</v>
      </c>
      <c r="X738" s="70" t="s">
        <v>50</v>
      </c>
      <c r="Y738" s="70" t="s">
        <v>123</v>
      </c>
      <c r="Z738" s="70"/>
      <c r="AA738" s="74"/>
      <c r="AB738" s="74"/>
      <c r="AC738" s="74"/>
      <c r="AD738" s="74"/>
      <c r="AE738" s="74"/>
      <c r="AF738" s="74"/>
      <c r="AG738" s="9" t="s">
        <v>1140</v>
      </c>
    </row>
    <row r="739" spans="1:33">
      <c r="A739" s="19" t="s">
        <v>1133</v>
      </c>
      <c r="B739" s="4" t="s">
        <v>1141</v>
      </c>
      <c r="C739" s="63" t="s">
        <v>864</v>
      </c>
      <c r="D739" s="70" t="s">
        <v>48</v>
      </c>
      <c r="E739" s="33"/>
      <c r="F739" s="4" t="s">
        <v>78</v>
      </c>
      <c r="G739" s="65"/>
      <c r="H739" s="65">
        <v>45815</v>
      </c>
      <c r="I739" s="65">
        <v>45931</v>
      </c>
      <c r="J739" s="66">
        <f t="shared" ref="J739:J745" si="40">IF(AND(H739&lt;&gt;"",I739&lt;&gt;""),I739-H739+1,"")</f>
        <v>117</v>
      </c>
      <c r="K739" s="70"/>
      <c r="L739" s="70"/>
      <c r="M739" s="76"/>
      <c r="N739" s="70"/>
      <c r="O739" s="70" t="s">
        <v>50</v>
      </c>
      <c r="P739" s="67"/>
      <c r="Q739" s="75"/>
      <c r="R739" s="69" t="str">
        <f t="shared" si="38"/>
        <v/>
      </c>
      <c r="S739" s="70"/>
      <c r="T739" s="76"/>
      <c r="U739" s="76"/>
      <c r="V739" s="70"/>
      <c r="W739" s="70" t="s">
        <v>50</v>
      </c>
      <c r="X739" s="70" t="s">
        <v>123</v>
      </c>
      <c r="Y739" s="70" t="s">
        <v>123</v>
      </c>
      <c r="Z739" s="70"/>
      <c r="AA739" s="74"/>
      <c r="AB739" s="74"/>
      <c r="AC739" s="74"/>
      <c r="AD739" s="74"/>
      <c r="AE739" s="74"/>
      <c r="AF739" s="74"/>
      <c r="AG739" s="9" t="s">
        <v>123</v>
      </c>
    </row>
    <row r="740" spans="1:33">
      <c r="A740" s="19" t="s">
        <v>1133</v>
      </c>
      <c r="B740" s="4" t="s">
        <v>1142</v>
      </c>
      <c r="C740" s="63" t="s">
        <v>1075</v>
      </c>
      <c r="D740" s="70" t="s">
        <v>48</v>
      </c>
      <c r="E740" s="33"/>
      <c r="F740" s="4" t="s">
        <v>78</v>
      </c>
      <c r="G740" s="65"/>
      <c r="H740" s="65">
        <v>45696</v>
      </c>
      <c r="I740" s="65">
        <v>45878</v>
      </c>
      <c r="J740" s="66">
        <f t="shared" si="40"/>
        <v>183</v>
      </c>
      <c r="K740" s="70"/>
      <c r="L740" s="70"/>
      <c r="M740" s="76"/>
      <c r="N740" s="70"/>
      <c r="O740" s="70" t="s">
        <v>50</v>
      </c>
      <c r="P740" s="67"/>
      <c r="Q740" s="75"/>
      <c r="R740" s="69" t="str">
        <f t="shared" si="38"/>
        <v/>
      </c>
      <c r="S740" s="70"/>
      <c r="T740" s="76"/>
      <c r="U740" s="76"/>
      <c r="V740" s="70"/>
      <c r="W740" s="70" t="s">
        <v>51</v>
      </c>
      <c r="X740" s="70" t="s">
        <v>51</v>
      </c>
      <c r="Y740" s="70" t="s">
        <v>1136</v>
      </c>
      <c r="Z740" s="70" t="s">
        <v>1137</v>
      </c>
      <c r="AA740" s="74" t="s">
        <v>397</v>
      </c>
      <c r="AB740" s="74" t="s">
        <v>397</v>
      </c>
      <c r="AC740" s="74"/>
      <c r="AD740" s="74"/>
      <c r="AE740" s="74"/>
      <c r="AF740" s="74"/>
    </row>
    <row r="741" spans="1:33">
      <c r="A741" s="19" t="s">
        <v>1133</v>
      </c>
      <c r="B741" s="4" t="s">
        <v>1143</v>
      </c>
      <c r="C741" s="63" t="s">
        <v>867</v>
      </c>
      <c r="D741" s="70" t="s">
        <v>48</v>
      </c>
      <c r="E741" s="33"/>
      <c r="F741" s="4" t="s">
        <v>78</v>
      </c>
      <c r="G741" s="65"/>
      <c r="H741" s="65">
        <v>45346</v>
      </c>
      <c r="I741" s="65">
        <v>45352</v>
      </c>
      <c r="J741" s="66">
        <v>5</v>
      </c>
      <c r="K741" s="70"/>
      <c r="L741" s="70"/>
      <c r="M741" s="76"/>
      <c r="N741" s="70"/>
      <c r="O741" s="70" t="s">
        <v>50</v>
      </c>
      <c r="P741" s="67"/>
      <c r="Q741" s="75"/>
      <c r="R741" s="69" t="str">
        <f t="shared" si="38"/>
        <v/>
      </c>
      <c r="S741" s="70"/>
      <c r="T741" s="76"/>
      <c r="U741" s="76"/>
      <c r="V741" s="70"/>
      <c r="W741" s="70" t="s">
        <v>386</v>
      </c>
      <c r="X741" s="70" t="s">
        <v>386</v>
      </c>
      <c r="Y741" s="70" t="s">
        <v>386</v>
      </c>
      <c r="Z741" s="70" t="s">
        <v>386</v>
      </c>
      <c r="AA741" s="74" t="s">
        <v>386</v>
      </c>
      <c r="AB741" s="74"/>
      <c r="AC741" s="74"/>
      <c r="AD741" s="74"/>
      <c r="AE741" s="74"/>
      <c r="AF741" s="74"/>
    </row>
    <row r="742" spans="1:33">
      <c r="A742" s="19" t="s">
        <v>1133</v>
      </c>
      <c r="B742" s="4" t="s">
        <v>1144</v>
      </c>
      <c r="C742" s="63" t="s">
        <v>1145</v>
      </c>
      <c r="D742" s="70" t="s">
        <v>48</v>
      </c>
      <c r="E742" s="33"/>
      <c r="F742" s="4" t="s">
        <v>78</v>
      </c>
      <c r="G742" s="65"/>
      <c r="H742" s="65">
        <v>45768</v>
      </c>
      <c r="I742" s="65">
        <v>46076</v>
      </c>
      <c r="J742" s="66">
        <f t="shared" si="40"/>
        <v>309</v>
      </c>
      <c r="K742" s="70"/>
      <c r="L742" s="70"/>
      <c r="M742" s="76"/>
      <c r="N742" s="70"/>
      <c r="O742" s="70" t="s">
        <v>172</v>
      </c>
      <c r="P742" s="67"/>
      <c r="Q742" s="75"/>
      <c r="R742" s="69" t="str">
        <f t="shared" si="38"/>
        <v/>
      </c>
      <c r="S742" s="70"/>
      <c r="T742" s="76"/>
      <c r="U742" s="76"/>
      <c r="V742" s="70"/>
      <c r="W742" s="70" t="s">
        <v>51</v>
      </c>
      <c r="X742" s="70" t="s">
        <v>1146</v>
      </c>
      <c r="Y742" s="70" t="s">
        <v>1137</v>
      </c>
      <c r="Z742" s="70" t="s">
        <v>1137</v>
      </c>
      <c r="AA742" s="74" t="s">
        <v>397</v>
      </c>
      <c r="AB742" s="74" t="s">
        <v>397</v>
      </c>
      <c r="AC742" s="74"/>
      <c r="AD742" s="74"/>
      <c r="AE742" s="74"/>
      <c r="AF742" s="74"/>
      <c r="AG742" s="9" t="s">
        <v>1147</v>
      </c>
    </row>
    <row r="743" spans="1:33">
      <c r="A743" s="19" t="s">
        <v>1133</v>
      </c>
      <c r="B743" s="4" t="s">
        <v>1148</v>
      </c>
      <c r="C743" s="63" t="s">
        <v>921</v>
      </c>
      <c r="D743" s="70" t="s">
        <v>48</v>
      </c>
      <c r="E743" s="33"/>
      <c r="F743" s="4" t="s">
        <v>78</v>
      </c>
      <c r="G743" s="65"/>
      <c r="H743" s="65">
        <v>45786</v>
      </c>
      <c r="I743" s="65">
        <v>45971</v>
      </c>
      <c r="J743" s="66">
        <f t="shared" si="40"/>
        <v>186</v>
      </c>
      <c r="K743" s="70"/>
      <c r="L743" s="70"/>
      <c r="M743" s="76"/>
      <c r="N743" s="70"/>
      <c r="O743" s="70" t="s">
        <v>50</v>
      </c>
      <c r="P743" s="67"/>
      <c r="Q743" s="75"/>
      <c r="R743" s="69" t="str">
        <f t="shared" si="38"/>
        <v/>
      </c>
      <c r="S743" s="70"/>
      <c r="T743" s="76"/>
      <c r="U743" s="76"/>
      <c r="V743" s="70"/>
      <c r="W743" s="70" t="s">
        <v>51</v>
      </c>
      <c r="X743" s="70" t="s">
        <v>51</v>
      </c>
      <c r="Y743" s="70" t="s">
        <v>1137</v>
      </c>
      <c r="Z743" s="70" t="s">
        <v>1137</v>
      </c>
      <c r="AA743" s="74" t="s">
        <v>397</v>
      </c>
      <c r="AB743" s="74" t="s">
        <v>397</v>
      </c>
      <c r="AC743" s="74"/>
      <c r="AD743" s="74"/>
      <c r="AE743" s="74"/>
      <c r="AF743" s="74"/>
    </row>
    <row r="744" spans="1:33">
      <c r="A744" s="19" t="s">
        <v>1133</v>
      </c>
      <c r="B744" s="4" t="s">
        <v>1149</v>
      </c>
      <c r="C744" s="63" t="s">
        <v>1150</v>
      </c>
      <c r="D744" s="70" t="s">
        <v>48</v>
      </c>
      <c r="E744" s="33"/>
      <c r="F744" s="4" t="s">
        <v>78</v>
      </c>
      <c r="G744" s="65"/>
      <c r="H744" s="65">
        <v>45818</v>
      </c>
      <c r="I744" s="65">
        <v>46003</v>
      </c>
      <c r="J744" s="66">
        <f t="shared" si="40"/>
        <v>186</v>
      </c>
      <c r="K744" s="70"/>
      <c r="L744" s="70"/>
      <c r="M744" s="76"/>
      <c r="N744" s="70"/>
      <c r="O744" s="70" t="s">
        <v>50</v>
      </c>
      <c r="P744" s="67"/>
      <c r="Q744" s="75"/>
      <c r="R744" s="69" t="str">
        <f t="shared" si="38"/>
        <v/>
      </c>
      <c r="S744" s="70"/>
      <c r="T744" s="76"/>
      <c r="U744" s="76"/>
      <c r="V744" s="70"/>
      <c r="W744" s="70" t="s">
        <v>51</v>
      </c>
      <c r="X744" s="70" t="s">
        <v>51</v>
      </c>
      <c r="Y744" s="70" t="s">
        <v>1137</v>
      </c>
      <c r="Z744" s="70" t="s">
        <v>1137</v>
      </c>
      <c r="AA744" s="74" t="s">
        <v>397</v>
      </c>
      <c r="AB744" s="74" t="s">
        <v>397</v>
      </c>
      <c r="AC744" s="74"/>
      <c r="AD744" s="74"/>
      <c r="AE744" s="74"/>
      <c r="AF744" s="74"/>
    </row>
    <row r="745" spans="1:33">
      <c r="A745" s="19" t="s">
        <v>1151</v>
      </c>
      <c r="B745" s="4" t="s">
        <v>1152</v>
      </c>
      <c r="C745" s="63" t="s">
        <v>921</v>
      </c>
      <c r="D745" s="70" t="s">
        <v>54</v>
      </c>
      <c r="E745" s="33"/>
      <c r="F745" s="4" t="s">
        <v>78</v>
      </c>
      <c r="G745" s="65"/>
      <c r="H745" s="65">
        <v>46023</v>
      </c>
      <c r="I745" s="65" t="s">
        <v>1153</v>
      </c>
      <c r="J745" s="66"/>
      <c r="K745" s="70"/>
      <c r="L745" s="70"/>
      <c r="M745" s="76"/>
      <c r="N745" s="70"/>
      <c r="O745" s="70" t="s">
        <v>51</v>
      </c>
      <c r="P745" s="67"/>
      <c r="Q745" s="75"/>
      <c r="R745" s="69" t="str">
        <f t="shared" si="38"/>
        <v/>
      </c>
      <c r="S745" s="70"/>
      <c r="T745" s="76"/>
      <c r="U745" s="76"/>
      <c r="V745" s="70"/>
      <c r="W745" s="70"/>
      <c r="X745" s="70"/>
      <c r="Y745" s="70"/>
      <c r="Z745" s="70"/>
      <c r="AA745" s="74"/>
      <c r="AB745" s="74"/>
      <c r="AC745" s="74"/>
      <c r="AD745" s="74"/>
      <c r="AE745" s="74"/>
      <c r="AF745" s="74"/>
    </row>
    <row r="746" spans="1:33">
      <c r="A746" s="19" t="s">
        <v>1154</v>
      </c>
      <c r="B746" s="4" t="s">
        <v>1155</v>
      </c>
      <c r="C746" s="63">
        <v>58</v>
      </c>
      <c r="D746" s="70" t="s">
        <v>54</v>
      </c>
      <c r="E746" s="33"/>
      <c r="F746" s="4" t="s">
        <v>785</v>
      </c>
      <c r="G746" s="65" t="s">
        <v>1156</v>
      </c>
      <c r="H746" s="65">
        <v>45653</v>
      </c>
      <c r="I746" s="65">
        <v>45930</v>
      </c>
      <c r="J746" s="66">
        <f t="shared" ref="J746:J755" si="41">IF(AND(H746&lt;&gt;"",I746&lt;&gt;""),I746-H746+1,"")</f>
        <v>278</v>
      </c>
      <c r="K746" s="70"/>
      <c r="L746" s="70"/>
      <c r="M746" s="76"/>
      <c r="N746" s="70"/>
      <c r="O746" s="70" t="s">
        <v>50</v>
      </c>
      <c r="P746" s="67"/>
      <c r="Q746" s="75"/>
      <c r="R746" s="69" t="str">
        <f t="shared" si="38"/>
        <v/>
      </c>
      <c r="S746" s="70"/>
      <c r="T746" s="76"/>
      <c r="U746" s="76"/>
      <c r="V746" s="70"/>
      <c r="W746" s="70" t="s">
        <v>51</v>
      </c>
      <c r="X746" s="70" t="s">
        <v>51</v>
      </c>
      <c r="Y746" s="70" t="s">
        <v>51</v>
      </c>
      <c r="Z746" s="70"/>
      <c r="AA746" s="74" t="s">
        <v>52</v>
      </c>
      <c r="AB746" s="74" t="s">
        <v>52</v>
      </c>
      <c r="AC746" s="74" t="s">
        <v>52</v>
      </c>
      <c r="AD746" s="74"/>
      <c r="AE746" s="74"/>
      <c r="AF746" s="74"/>
    </row>
    <row r="747" spans="1:33">
      <c r="A747" s="19" t="s">
        <v>1154</v>
      </c>
      <c r="B747" s="4" t="s">
        <v>1157</v>
      </c>
      <c r="C747" s="63">
        <v>44</v>
      </c>
      <c r="D747" s="70" t="s">
        <v>48</v>
      </c>
      <c r="E747" s="33"/>
      <c r="F747" s="4" t="s">
        <v>785</v>
      </c>
      <c r="G747" s="65" t="s">
        <v>1158</v>
      </c>
      <c r="H747" s="65">
        <v>45689</v>
      </c>
      <c r="I747" s="65">
        <v>45962</v>
      </c>
      <c r="J747" s="66">
        <f t="shared" si="41"/>
        <v>274</v>
      </c>
      <c r="K747" s="70"/>
      <c r="L747" s="70"/>
      <c r="M747" s="76"/>
      <c r="N747" s="70"/>
      <c r="O747" s="70" t="s">
        <v>50</v>
      </c>
      <c r="P747" s="67"/>
      <c r="Q747" s="75"/>
      <c r="R747" s="69" t="str">
        <f t="shared" si="38"/>
        <v/>
      </c>
      <c r="S747" s="70"/>
      <c r="T747" s="76"/>
      <c r="U747" s="76"/>
      <c r="V747" s="70"/>
      <c r="W747" s="70" t="s">
        <v>51</v>
      </c>
      <c r="X747" s="70" t="s">
        <v>51</v>
      </c>
      <c r="Y747" s="70"/>
      <c r="Z747" s="70"/>
      <c r="AA747" s="74" t="s">
        <v>52</v>
      </c>
      <c r="AB747" s="74" t="s">
        <v>52</v>
      </c>
      <c r="AC747" s="74"/>
      <c r="AD747" s="74"/>
      <c r="AE747" s="74"/>
      <c r="AF747" s="74"/>
    </row>
    <row r="748" spans="1:33">
      <c r="A748" s="19" t="s">
        <v>1154</v>
      </c>
      <c r="B748" s="4" t="s">
        <v>1159</v>
      </c>
      <c r="C748" s="63">
        <v>67</v>
      </c>
      <c r="D748" s="70" t="s">
        <v>48</v>
      </c>
      <c r="E748" s="33"/>
      <c r="F748" s="4" t="s">
        <v>785</v>
      </c>
      <c r="G748" s="65" t="s">
        <v>1160</v>
      </c>
      <c r="H748" s="65">
        <v>45741</v>
      </c>
      <c r="I748" s="65">
        <v>46016</v>
      </c>
      <c r="J748" s="66">
        <f t="shared" si="41"/>
        <v>276</v>
      </c>
      <c r="K748" s="70"/>
      <c r="L748" s="70"/>
      <c r="M748" s="76"/>
      <c r="N748" s="70"/>
      <c r="O748" s="70" t="s">
        <v>50</v>
      </c>
      <c r="P748" s="67"/>
      <c r="Q748" s="75"/>
      <c r="R748" s="69" t="str">
        <f t="shared" si="38"/>
        <v/>
      </c>
      <c r="S748" s="70"/>
      <c r="T748" s="76"/>
      <c r="U748" s="76"/>
      <c r="V748" s="70"/>
      <c r="W748" s="70" t="s">
        <v>51</v>
      </c>
      <c r="X748" s="70" t="s">
        <v>51</v>
      </c>
      <c r="Y748" s="70"/>
      <c r="Z748" s="70"/>
      <c r="AA748" s="74" t="s">
        <v>52</v>
      </c>
      <c r="AB748" s="74" t="s">
        <v>52</v>
      </c>
      <c r="AC748" s="74"/>
      <c r="AD748" s="74"/>
      <c r="AE748" s="74"/>
      <c r="AF748" s="74"/>
    </row>
    <row r="749" ht="42" spans="1:33">
      <c r="A749" s="19" t="s">
        <v>1154</v>
      </c>
      <c r="B749" s="4" t="s">
        <v>1161</v>
      </c>
      <c r="C749" s="63">
        <v>42</v>
      </c>
      <c r="D749" s="70" t="s">
        <v>48</v>
      </c>
      <c r="E749" s="33"/>
      <c r="F749" s="4" t="s">
        <v>785</v>
      </c>
      <c r="G749" s="65" t="s">
        <v>1162</v>
      </c>
      <c r="H749" s="65">
        <v>45808</v>
      </c>
      <c r="I749" s="65">
        <v>46084</v>
      </c>
      <c r="J749" s="66">
        <f t="shared" si="41"/>
        <v>277</v>
      </c>
      <c r="K749" s="70"/>
      <c r="L749" s="70"/>
      <c r="M749" s="76"/>
      <c r="N749" s="70"/>
      <c r="O749" s="70" t="s">
        <v>50</v>
      </c>
      <c r="P749" s="67"/>
      <c r="Q749" s="75"/>
      <c r="R749" s="69" t="str">
        <f t="shared" si="38"/>
        <v/>
      </c>
      <c r="S749" s="70"/>
      <c r="T749" s="76"/>
      <c r="U749" s="76"/>
      <c r="V749" s="70"/>
      <c r="W749" s="70" t="s">
        <v>51</v>
      </c>
      <c r="X749" s="70" t="s">
        <v>51</v>
      </c>
      <c r="Y749" s="70"/>
      <c r="Z749" s="70"/>
      <c r="AA749" s="74" t="s">
        <v>1163</v>
      </c>
      <c r="AB749" s="74" t="s">
        <v>657</v>
      </c>
      <c r="AC749" s="74"/>
      <c r="AD749" s="74"/>
      <c r="AE749" s="74"/>
      <c r="AF749" s="74"/>
    </row>
    <row r="750" spans="1:33">
      <c r="A750" s="19" t="s">
        <v>1154</v>
      </c>
      <c r="B750" s="4" t="s">
        <v>1164</v>
      </c>
      <c r="C750" s="63">
        <v>48</v>
      </c>
      <c r="D750" s="70" t="s">
        <v>48</v>
      </c>
      <c r="E750" s="33"/>
      <c r="F750" s="4" t="s">
        <v>785</v>
      </c>
      <c r="G750" s="65" t="s">
        <v>1165</v>
      </c>
      <c r="H750" s="65">
        <v>45814</v>
      </c>
      <c r="I750" s="65">
        <v>46087</v>
      </c>
      <c r="J750" s="66">
        <f t="shared" si="41"/>
        <v>274</v>
      </c>
      <c r="K750" s="70"/>
      <c r="L750" s="70"/>
      <c r="M750" s="76"/>
      <c r="N750" s="70"/>
      <c r="O750" s="70" t="s">
        <v>50</v>
      </c>
      <c r="P750" s="67"/>
      <c r="Q750" s="75"/>
      <c r="R750" s="69" t="str">
        <f t="shared" ref="R750:R755" si="42">IF(AND(P750&lt;&gt;"",Q750&lt;&gt;""),P750/(Q750/100)^2,"")</f>
        <v/>
      </c>
      <c r="S750" s="70"/>
      <c r="T750" s="76"/>
      <c r="U750" s="76"/>
      <c r="V750" s="70"/>
      <c r="W750" s="70" t="s">
        <v>51</v>
      </c>
      <c r="X750" s="70" t="s">
        <v>51</v>
      </c>
      <c r="Y750" s="70"/>
      <c r="Z750" s="70"/>
      <c r="AA750" s="74" t="s">
        <v>52</v>
      </c>
      <c r="AB750" s="74" t="s">
        <v>52</v>
      </c>
      <c r="AC750" s="74"/>
      <c r="AD750" s="74"/>
      <c r="AE750" s="74"/>
      <c r="AF750" s="74"/>
    </row>
    <row r="751" spans="1:33">
      <c r="A751" s="19" t="s">
        <v>1166</v>
      </c>
      <c r="B751" s="4" t="s">
        <v>1167</v>
      </c>
      <c r="C751" s="63">
        <v>56</v>
      </c>
      <c r="D751" s="70" t="s">
        <v>48</v>
      </c>
      <c r="E751" s="33"/>
      <c r="F751" s="4" t="s">
        <v>1168</v>
      </c>
      <c r="G751" s="65">
        <v>45749</v>
      </c>
      <c r="H751" s="65">
        <v>45532</v>
      </c>
      <c r="I751" s="65">
        <v>45721</v>
      </c>
      <c r="J751" s="66">
        <f t="shared" si="41"/>
        <v>190</v>
      </c>
      <c r="O751" s="70" t="s">
        <v>50</v>
      </c>
      <c r="P751" s="67"/>
      <c r="Q751" s="75"/>
      <c r="R751" s="69" t="str">
        <f t="shared" si="42"/>
        <v/>
      </c>
      <c r="S751" s="70"/>
      <c r="T751" s="76"/>
      <c r="U751" s="76"/>
      <c r="V751" s="70"/>
      <c r="W751" s="70" t="s">
        <v>51</v>
      </c>
      <c r="X751" s="70" t="s">
        <v>51</v>
      </c>
      <c r="Y751" s="70" t="s">
        <v>51</v>
      </c>
      <c r="Z751" s="70" t="s">
        <v>397</v>
      </c>
      <c r="AA751" s="74" t="s">
        <v>52</v>
      </c>
      <c r="AB751" s="74"/>
      <c r="AC751" s="74" t="s">
        <v>52</v>
      </c>
      <c r="AD751" s="74"/>
      <c r="AE751" s="74" t="s">
        <v>52</v>
      </c>
      <c r="AF751" s="74"/>
    </row>
    <row r="752" spans="1:33">
      <c r="A752" s="19" t="s">
        <v>1166</v>
      </c>
      <c r="B752" s="4" t="s">
        <v>1169</v>
      </c>
      <c r="C752" s="63">
        <v>26</v>
      </c>
      <c r="D752" s="70" t="s">
        <v>48</v>
      </c>
      <c r="E752" s="33"/>
      <c r="F752" s="4" t="s">
        <v>1168</v>
      </c>
      <c r="G752" s="65">
        <v>45749</v>
      </c>
      <c r="H752" s="65">
        <v>45523</v>
      </c>
      <c r="I752" s="65">
        <v>45792</v>
      </c>
      <c r="J752" s="66">
        <f t="shared" si="41"/>
        <v>270</v>
      </c>
      <c r="O752" s="70" t="s">
        <v>50</v>
      </c>
      <c r="P752" s="67"/>
      <c r="Q752" s="75"/>
      <c r="R752" s="69" t="str">
        <f t="shared" si="42"/>
        <v/>
      </c>
      <c r="S752" s="70"/>
      <c r="T752" s="76"/>
      <c r="U752" s="76"/>
      <c r="V752" s="70"/>
      <c r="W752" s="70" t="s">
        <v>51</v>
      </c>
      <c r="X752" s="70" t="s">
        <v>51</v>
      </c>
      <c r="Y752" s="70" t="s">
        <v>51</v>
      </c>
      <c r="Z752" s="70" t="s">
        <v>397</v>
      </c>
      <c r="AA752" s="74" t="s">
        <v>52</v>
      </c>
      <c r="AB752" s="74"/>
      <c r="AC752" s="74" t="s">
        <v>52</v>
      </c>
      <c r="AD752" s="74"/>
      <c r="AE752" s="74" t="s">
        <v>52</v>
      </c>
      <c r="AF752" s="74"/>
    </row>
    <row r="753" spans="1:33">
      <c r="A753" s="19" t="s">
        <v>1166</v>
      </c>
      <c r="B753" s="4" t="s">
        <v>1170</v>
      </c>
      <c r="C753" s="63">
        <v>64</v>
      </c>
      <c r="D753" s="70" t="s">
        <v>48</v>
      </c>
      <c r="E753" s="33"/>
      <c r="F753" s="4" t="s">
        <v>1171</v>
      </c>
      <c r="G753" s="65"/>
      <c r="H753" s="65">
        <v>45420</v>
      </c>
      <c r="I753" s="65">
        <v>45642</v>
      </c>
      <c r="J753" s="66">
        <f t="shared" si="41"/>
        <v>223</v>
      </c>
      <c r="O753" s="70" t="s">
        <v>51</v>
      </c>
      <c r="P753" s="67"/>
      <c r="Q753" s="75"/>
      <c r="R753" s="69" t="str">
        <f t="shared" si="42"/>
        <v/>
      </c>
      <c r="S753" s="70"/>
      <c r="T753" s="76"/>
      <c r="U753" s="76"/>
      <c r="V753" s="70"/>
      <c r="W753" s="70" t="s">
        <v>51</v>
      </c>
      <c r="X753" s="70" t="s">
        <v>51</v>
      </c>
      <c r="Y753" s="70" t="s">
        <v>51</v>
      </c>
      <c r="Z753" s="70" t="s">
        <v>397</v>
      </c>
      <c r="AA753" s="74" t="s">
        <v>52</v>
      </c>
      <c r="AB753" s="74"/>
      <c r="AC753" s="74" t="s">
        <v>52</v>
      </c>
      <c r="AD753" s="74"/>
      <c r="AE753" s="74" t="s">
        <v>52</v>
      </c>
      <c r="AF753" s="74"/>
    </row>
    <row r="754" spans="1:33">
      <c r="A754" s="19" t="s">
        <v>1166</v>
      </c>
      <c r="B754" s="4" t="s">
        <v>1172</v>
      </c>
      <c r="C754" s="63">
        <v>40</v>
      </c>
      <c r="D754" s="70" t="s">
        <v>48</v>
      </c>
      <c r="E754" s="33"/>
      <c r="F754" s="4" t="s">
        <v>1168</v>
      </c>
      <c r="G754" s="65">
        <v>45749</v>
      </c>
      <c r="H754" s="65">
        <v>45422</v>
      </c>
      <c r="I754" s="65">
        <v>45825</v>
      </c>
      <c r="J754" s="66">
        <f t="shared" si="41"/>
        <v>404</v>
      </c>
      <c r="O754" s="70" t="s">
        <v>50</v>
      </c>
      <c r="P754" s="67"/>
      <c r="Q754" s="75"/>
      <c r="R754" s="69" t="str">
        <f t="shared" si="42"/>
        <v/>
      </c>
      <c r="S754" s="70"/>
      <c r="T754" s="76"/>
      <c r="U754" s="76"/>
      <c r="V754" s="70"/>
      <c r="W754" s="70" t="s">
        <v>51</v>
      </c>
      <c r="X754" s="70" t="s">
        <v>51</v>
      </c>
      <c r="Y754" s="70" t="s">
        <v>51</v>
      </c>
      <c r="Z754" s="70" t="s">
        <v>397</v>
      </c>
      <c r="AA754" s="74" t="s">
        <v>52</v>
      </c>
      <c r="AB754" s="74"/>
      <c r="AC754" s="74" t="s">
        <v>52</v>
      </c>
      <c r="AD754" s="74"/>
      <c r="AE754" s="74" t="s">
        <v>52</v>
      </c>
      <c r="AF754" s="74"/>
    </row>
    <row r="755" spans="1:33">
      <c r="A755" s="19" t="s">
        <v>1166</v>
      </c>
      <c r="B755" s="4" t="s">
        <v>1173</v>
      </c>
      <c r="C755" s="63">
        <v>66</v>
      </c>
      <c r="D755" s="70" t="s">
        <v>48</v>
      </c>
      <c r="E755" s="33"/>
      <c r="F755" s="4" t="s">
        <v>1171</v>
      </c>
      <c r="G755" s="65"/>
      <c r="H755" s="65">
        <v>45330</v>
      </c>
      <c r="I755" s="65" t="s">
        <v>1174</v>
      </c>
      <c r="J755" s="66" t="e">
        <f t="shared" si="41"/>
        <v>#VALUE!</v>
      </c>
      <c r="O755" s="70" t="s">
        <v>50</v>
      </c>
      <c r="P755" s="67"/>
      <c r="Q755" s="75"/>
      <c r="R755" s="69" t="str">
        <f t="shared" si="42"/>
        <v/>
      </c>
      <c r="S755" s="70"/>
      <c r="T755" s="76"/>
      <c r="U755" s="76"/>
      <c r="V755" s="70"/>
      <c r="W755" s="70"/>
      <c r="X755" s="70"/>
      <c r="Y755" s="70"/>
      <c r="Z755" s="70"/>
      <c r="AA755" s="74"/>
      <c r="AB755" s="74"/>
      <c r="AC755" s="74"/>
      <c r="AD755" s="74"/>
      <c r="AE755" s="74"/>
      <c r="AF755" s="74"/>
      <c r="AG755" s="9" t="s">
        <v>123</v>
      </c>
    </row>
    <row r="756" ht="42" spans="1:33">
      <c r="A756" s="19" t="s">
        <v>1175</v>
      </c>
      <c r="B756" s="4" t="s">
        <v>1176</v>
      </c>
      <c r="C756" s="63">
        <v>55</v>
      </c>
      <c r="D756" s="70" t="s">
        <v>48</v>
      </c>
      <c r="F756" s="4" t="s">
        <v>1177</v>
      </c>
      <c r="G756" s="65"/>
      <c r="H756" s="65">
        <v>45862</v>
      </c>
      <c r="I756" s="65"/>
      <c r="J756" s="66"/>
      <c r="K756" s="70"/>
      <c r="L756" s="70"/>
      <c r="M756" s="76"/>
      <c r="N756" s="70"/>
      <c r="O756" s="70"/>
      <c r="W756" s="70" t="s">
        <v>51</v>
      </c>
      <c r="X756" s="70"/>
      <c r="Y756" s="70"/>
      <c r="Z756" s="70"/>
      <c r="AA756" s="70"/>
      <c r="AB756" s="70"/>
      <c r="AC756" s="70"/>
      <c r="AD756" s="70"/>
      <c r="AE756" s="70"/>
      <c r="AF756" s="70"/>
    </row>
    <row r="757" ht="42" spans="1:33">
      <c r="A757" s="19" t="s">
        <v>1175</v>
      </c>
      <c r="B757" s="4" t="s">
        <v>1178</v>
      </c>
      <c r="C757" s="63">
        <v>35</v>
      </c>
      <c r="D757" s="70" t="s">
        <v>48</v>
      </c>
      <c r="F757" s="4" t="s">
        <v>1177</v>
      </c>
      <c r="G757" s="65"/>
      <c r="H757" s="65">
        <v>45831</v>
      </c>
      <c r="I757" s="65"/>
      <c r="J757" s="66"/>
      <c r="O757" s="70"/>
      <c r="W757" s="70" t="s">
        <v>51</v>
      </c>
      <c r="X757" s="70"/>
      <c r="Y757" s="70"/>
      <c r="Z757" s="70"/>
      <c r="AA757" s="70"/>
      <c r="AB757" s="70"/>
      <c r="AC757" s="70"/>
      <c r="AD757" s="70"/>
      <c r="AE757" s="70"/>
      <c r="AF757" s="70"/>
    </row>
    <row r="758" ht="42" spans="1:33">
      <c r="A758" s="19" t="s">
        <v>1175</v>
      </c>
      <c r="B758" s="4" t="s">
        <v>1179</v>
      </c>
      <c r="C758" s="63">
        <v>31</v>
      </c>
      <c r="D758" s="70" t="s">
        <v>48</v>
      </c>
      <c r="F758" s="4" t="s">
        <v>1177</v>
      </c>
      <c r="G758" s="19"/>
      <c r="H758" s="19">
        <v>45585</v>
      </c>
      <c r="I758" s="65" t="s">
        <v>123</v>
      </c>
      <c r="J758" s="66"/>
      <c r="O758" s="70"/>
      <c r="W758" s="70" t="s">
        <v>51</v>
      </c>
      <c r="X758" s="70"/>
      <c r="Y758" s="70"/>
      <c r="Z758" s="70"/>
      <c r="AA758" s="70"/>
      <c r="AB758" s="70"/>
      <c r="AC758" s="70"/>
      <c r="AD758" s="70"/>
      <c r="AE758" s="70"/>
      <c r="AF758" s="70"/>
    </row>
    <row r="759" spans="1:33">
      <c r="A759" s="19" t="s">
        <v>1180</v>
      </c>
      <c r="B759" s="47" t="s">
        <v>1181</v>
      </c>
      <c r="C759" s="80" t="s">
        <v>1182</v>
      </c>
      <c r="D759" s="50" t="s">
        <v>48</v>
      </c>
      <c r="E759" s="48"/>
      <c r="F759" s="47" t="s">
        <v>78</v>
      </c>
      <c r="G759" s="49">
        <v>45673</v>
      </c>
      <c r="H759" s="49">
        <v>45673</v>
      </c>
      <c r="I759" s="49">
        <v>45854</v>
      </c>
      <c r="J759" s="81">
        <f>IF(AND(H759&lt;&gt;"",I759&lt;&gt;""),I759-H759+1,"")</f>
        <v>182</v>
      </c>
      <c r="K759" s="50"/>
      <c r="L759" s="50"/>
      <c r="M759" s="54"/>
      <c r="N759" s="50"/>
      <c r="O759" s="50"/>
      <c r="P759" s="51"/>
      <c r="Q759" s="52"/>
      <c r="R759" s="53" t="str">
        <f t="shared" ref="R759:R783" si="43">IF(AND(P759&lt;&gt;"",Q759&lt;&gt;""),P759/(Q759/100)^2,"")</f>
        <v/>
      </c>
      <c r="S759" s="50"/>
      <c r="T759" s="54"/>
      <c r="U759" s="54"/>
      <c r="V759" s="50"/>
      <c r="W759" s="50" t="s">
        <v>51</v>
      </c>
      <c r="X759" s="70" t="s">
        <v>51</v>
      </c>
      <c r="Y759" s="70"/>
      <c r="Z759" s="70"/>
      <c r="AA759" s="70"/>
      <c r="AB759" s="70"/>
      <c r="AC759" s="70"/>
      <c r="AD759" s="70"/>
      <c r="AE759" s="70"/>
      <c r="AF759" s="70"/>
    </row>
    <row r="760" spans="1:33">
      <c r="A760" s="19" t="s">
        <v>1183</v>
      </c>
      <c r="B760" s="4" t="s">
        <v>1184</v>
      </c>
      <c r="C760" s="63" t="s">
        <v>899</v>
      </c>
      <c r="D760" s="70" t="s">
        <v>48</v>
      </c>
      <c r="E760" s="41"/>
      <c r="F760" s="4" t="s">
        <v>82</v>
      </c>
      <c r="G760" s="49"/>
      <c r="H760" s="49">
        <v>45218</v>
      </c>
      <c r="I760" s="49">
        <v>45797</v>
      </c>
      <c r="J760" s="81">
        <f t="shared" ref="J760:J769" si="44">IF(AND(H760&lt;&gt;"",I760&lt;&gt;""),I760-H760+1,"")</f>
        <v>580</v>
      </c>
      <c r="O760" s="70" t="s">
        <v>50</v>
      </c>
      <c r="P760" s="67"/>
      <c r="Q760" s="68"/>
      <c r="R760" s="69" t="str">
        <f t="shared" si="43"/>
        <v/>
      </c>
      <c r="S760" s="70"/>
      <c r="T760" s="71"/>
      <c r="U760" s="71"/>
      <c r="V760" s="70"/>
      <c r="W760" s="70" t="s">
        <v>51</v>
      </c>
      <c r="X760" s="70" t="s">
        <v>51</v>
      </c>
      <c r="Y760" s="70" t="s">
        <v>123</v>
      </c>
      <c r="Z760" s="70"/>
      <c r="AA760" s="74"/>
      <c r="AB760" s="70"/>
      <c r="AC760" s="70"/>
      <c r="AD760" s="70"/>
      <c r="AE760" s="70"/>
      <c r="AF760" s="70"/>
    </row>
    <row r="761" ht="27" spans="1:33">
      <c r="A761" s="19" t="s">
        <v>1183</v>
      </c>
      <c r="B761" s="4" t="s">
        <v>1185</v>
      </c>
      <c r="C761" s="63" t="s">
        <v>1186</v>
      </c>
      <c r="D761" s="70" t="s">
        <v>48</v>
      </c>
      <c r="E761" s="41"/>
      <c r="F761" s="4" t="s">
        <v>49</v>
      </c>
      <c r="G761" s="49"/>
      <c r="H761" s="49">
        <v>45139</v>
      </c>
      <c r="I761" s="49">
        <v>45148</v>
      </c>
      <c r="J761" s="81">
        <f t="shared" si="44"/>
        <v>10</v>
      </c>
      <c r="O761" s="70" t="s">
        <v>50</v>
      </c>
      <c r="P761" s="67"/>
      <c r="Q761" s="68"/>
      <c r="R761" s="69" t="str">
        <f t="shared" si="43"/>
        <v/>
      </c>
      <c r="S761" s="70"/>
      <c r="T761" s="71"/>
      <c r="U761" s="71"/>
      <c r="V761" s="70"/>
      <c r="W761" s="70" t="s">
        <v>50</v>
      </c>
      <c r="X761" s="70" t="s">
        <v>50</v>
      </c>
      <c r="Y761" s="70" t="s">
        <v>51</v>
      </c>
      <c r="Z761" s="70"/>
      <c r="AA761" s="74" t="s">
        <v>1187</v>
      </c>
      <c r="AB761" s="70"/>
      <c r="AC761" s="70"/>
      <c r="AD761" s="70"/>
      <c r="AE761" s="70"/>
      <c r="AF761" s="70"/>
    </row>
    <row r="762" spans="1:33">
      <c r="A762" s="19" t="s">
        <v>1183</v>
      </c>
      <c r="B762" s="4" t="s">
        <v>1188</v>
      </c>
      <c r="C762" s="63" t="s">
        <v>861</v>
      </c>
      <c r="D762" s="70" t="s">
        <v>54</v>
      </c>
      <c r="E762" s="41"/>
      <c r="F762" s="4" t="s">
        <v>56</v>
      </c>
      <c r="G762" s="49"/>
      <c r="H762" s="49">
        <v>45209</v>
      </c>
      <c r="I762" s="49">
        <v>45966</v>
      </c>
      <c r="J762" s="81">
        <f t="shared" si="44"/>
        <v>758</v>
      </c>
      <c r="O762" s="70" t="s">
        <v>50</v>
      </c>
      <c r="P762" s="67"/>
      <c r="Q762" s="68"/>
      <c r="R762" s="69" t="str">
        <f t="shared" si="43"/>
        <v/>
      </c>
      <c r="S762" s="70"/>
      <c r="T762" s="71"/>
      <c r="U762" s="71"/>
      <c r="V762" s="70"/>
      <c r="W762" s="70" t="s">
        <v>50</v>
      </c>
      <c r="X762" s="70" t="s">
        <v>51</v>
      </c>
      <c r="Y762" s="70" t="s">
        <v>1189</v>
      </c>
      <c r="Z762" s="70"/>
      <c r="AA762" s="74"/>
      <c r="AB762" s="70"/>
      <c r="AC762" s="70"/>
      <c r="AD762" s="70"/>
      <c r="AE762" s="70"/>
      <c r="AF762" s="70"/>
    </row>
    <row r="763" spans="1:33">
      <c r="A763" s="19" t="s">
        <v>1183</v>
      </c>
      <c r="B763" s="4" t="s">
        <v>1190</v>
      </c>
      <c r="C763" s="63" t="s">
        <v>1191</v>
      </c>
      <c r="D763" s="70" t="s">
        <v>54</v>
      </c>
      <c r="E763" s="41"/>
      <c r="F763" s="4" t="s">
        <v>56</v>
      </c>
      <c r="G763" s="49"/>
      <c r="H763" s="49">
        <v>45268</v>
      </c>
      <c r="I763" s="49">
        <v>45797</v>
      </c>
      <c r="J763" s="81">
        <f t="shared" si="44"/>
        <v>530</v>
      </c>
      <c r="O763" s="70" t="s">
        <v>50</v>
      </c>
      <c r="P763" s="67"/>
      <c r="Q763" s="68"/>
      <c r="R763" s="69" t="str">
        <f t="shared" si="43"/>
        <v/>
      </c>
      <c r="S763" s="70"/>
      <c r="T763" s="71"/>
      <c r="U763" s="71"/>
      <c r="V763" s="70"/>
      <c r="W763" s="70" t="s">
        <v>51</v>
      </c>
      <c r="X763" s="70" t="s">
        <v>51</v>
      </c>
      <c r="Y763" s="70" t="s">
        <v>51</v>
      </c>
      <c r="Z763" s="70"/>
      <c r="AA763" s="74" t="s">
        <v>52</v>
      </c>
      <c r="AB763" s="70"/>
      <c r="AC763" s="70"/>
      <c r="AD763" s="70"/>
      <c r="AE763" s="70"/>
      <c r="AF763" s="70"/>
    </row>
    <row r="764" spans="1:33">
      <c r="A764" s="19" t="s">
        <v>1183</v>
      </c>
      <c r="B764" s="4" t="s">
        <v>1192</v>
      </c>
      <c r="C764" s="63" t="s">
        <v>1150</v>
      </c>
      <c r="D764" s="70" t="s">
        <v>48</v>
      </c>
      <c r="E764" s="41"/>
      <c r="F764" s="4" t="s">
        <v>82</v>
      </c>
      <c r="G764" s="49"/>
      <c r="H764" s="49">
        <v>45184</v>
      </c>
      <c r="I764" s="65" t="s">
        <v>123</v>
      </c>
      <c r="J764" s="81" t="e">
        <f t="shared" si="44"/>
        <v>#VALUE!</v>
      </c>
      <c r="O764" s="70" t="s">
        <v>50</v>
      </c>
      <c r="P764" s="67"/>
      <c r="Q764" s="68"/>
      <c r="R764" s="69" t="str">
        <f t="shared" si="43"/>
        <v/>
      </c>
      <c r="S764" s="70"/>
      <c r="T764" s="71"/>
      <c r="U764" s="71"/>
      <c r="V764" s="70"/>
      <c r="W764" s="70" t="s">
        <v>50</v>
      </c>
      <c r="X764" s="70" t="s">
        <v>123</v>
      </c>
      <c r="Y764" s="70"/>
      <c r="Z764" s="70"/>
      <c r="AA764" s="74" t="s">
        <v>1193</v>
      </c>
      <c r="AB764" s="70"/>
      <c r="AC764" s="70"/>
      <c r="AD764" s="70"/>
      <c r="AE764" s="70"/>
      <c r="AF764" s="70"/>
    </row>
    <row r="765" spans="1:33">
      <c r="A765" s="19" t="s">
        <v>1183</v>
      </c>
      <c r="B765" s="4" t="s">
        <v>1194</v>
      </c>
      <c r="C765" s="63" t="s">
        <v>942</v>
      </c>
      <c r="D765" s="70" t="s">
        <v>48</v>
      </c>
      <c r="E765" s="41"/>
      <c r="F765" s="4" t="s">
        <v>82</v>
      </c>
      <c r="G765" s="49"/>
      <c r="H765" s="49">
        <v>45170</v>
      </c>
      <c r="I765" s="49">
        <v>45197</v>
      </c>
      <c r="J765" s="81">
        <f t="shared" si="44"/>
        <v>28</v>
      </c>
      <c r="O765" s="70" t="s">
        <v>50</v>
      </c>
      <c r="P765" s="67"/>
      <c r="Q765" s="68"/>
      <c r="R765" s="69" t="str">
        <f t="shared" si="43"/>
        <v/>
      </c>
      <c r="S765" s="70"/>
      <c r="T765" s="71"/>
      <c r="U765" s="71"/>
      <c r="V765" s="70"/>
      <c r="W765" s="70" t="s">
        <v>123</v>
      </c>
      <c r="X765" s="70" t="s">
        <v>123</v>
      </c>
      <c r="Y765" s="70" t="s">
        <v>123</v>
      </c>
      <c r="Z765" s="70"/>
      <c r="AA765" s="74"/>
      <c r="AB765" s="70"/>
      <c r="AC765" s="70"/>
      <c r="AD765" s="70"/>
      <c r="AE765" s="70"/>
      <c r="AF765" s="70"/>
    </row>
    <row r="766" spans="1:33">
      <c r="A766" s="19" t="s">
        <v>1183</v>
      </c>
      <c r="B766" s="4" t="s">
        <v>1195</v>
      </c>
      <c r="C766" s="63" t="s">
        <v>1196</v>
      </c>
      <c r="D766" s="70" t="s">
        <v>54</v>
      </c>
      <c r="E766" s="41"/>
      <c r="F766" s="4" t="s">
        <v>1197</v>
      </c>
      <c r="G766" s="49"/>
      <c r="H766" s="49">
        <v>45107</v>
      </c>
      <c r="I766" s="49">
        <v>45136</v>
      </c>
      <c r="J766" s="81">
        <f t="shared" si="44"/>
        <v>30</v>
      </c>
      <c r="O766" s="70" t="s">
        <v>50</v>
      </c>
      <c r="P766" s="67"/>
      <c r="Q766" s="68"/>
      <c r="R766" s="69" t="str">
        <f t="shared" si="43"/>
        <v/>
      </c>
      <c r="S766" s="70"/>
      <c r="T766" s="71"/>
      <c r="U766" s="71"/>
      <c r="V766" s="70"/>
      <c r="W766" s="70" t="s">
        <v>123</v>
      </c>
      <c r="X766" s="70" t="s">
        <v>123</v>
      </c>
      <c r="Y766" s="70" t="s">
        <v>123</v>
      </c>
      <c r="Z766" s="70"/>
      <c r="AA766" s="74"/>
      <c r="AB766" s="70"/>
      <c r="AC766" s="70"/>
      <c r="AD766" s="70"/>
      <c r="AE766" s="70"/>
      <c r="AF766" s="70"/>
    </row>
    <row r="767" spans="1:33">
      <c r="A767" s="19" t="s">
        <v>1183</v>
      </c>
      <c r="B767" s="4" t="s">
        <v>1198</v>
      </c>
      <c r="C767" s="63" t="s">
        <v>1199</v>
      </c>
      <c r="D767" s="70" t="s">
        <v>48</v>
      </c>
      <c r="E767" s="41"/>
      <c r="F767" s="4" t="s">
        <v>82</v>
      </c>
      <c r="G767" s="49"/>
      <c r="H767" s="49">
        <v>45076</v>
      </c>
      <c r="I767" s="49">
        <v>45132</v>
      </c>
      <c r="J767" s="81">
        <f t="shared" si="44"/>
        <v>57</v>
      </c>
      <c r="O767" s="70" t="s">
        <v>50</v>
      </c>
      <c r="P767" s="67"/>
      <c r="Q767" s="68"/>
      <c r="R767" s="69" t="str">
        <f t="shared" si="43"/>
        <v/>
      </c>
      <c r="S767" s="70"/>
      <c r="T767" s="71"/>
      <c r="U767" s="71"/>
      <c r="V767" s="70"/>
      <c r="W767" s="70" t="s">
        <v>123</v>
      </c>
      <c r="X767" s="70" t="s">
        <v>123</v>
      </c>
      <c r="Y767" s="70" t="s">
        <v>123</v>
      </c>
      <c r="Z767" s="70"/>
      <c r="AA767" s="74"/>
      <c r="AB767" s="70"/>
      <c r="AC767" s="70"/>
      <c r="AD767" s="70"/>
      <c r="AE767" s="70"/>
      <c r="AF767" s="70"/>
    </row>
    <row r="768" spans="1:33">
      <c r="A768" s="19" t="s">
        <v>1183</v>
      </c>
      <c r="B768" s="4" t="s">
        <v>1200</v>
      </c>
      <c r="C768" s="63" t="s">
        <v>939</v>
      </c>
      <c r="D768" s="70" t="s">
        <v>48</v>
      </c>
      <c r="E768" s="41"/>
      <c r="F768" s="4" t="s">
        <v>78</v>
      </c>
      <c r="G768" s="49"/>
      <c r="H768" s="49">
        <v>45882</v>
      </c>
      <c r="I768" s="49">
        <v>45961</v>
      </c>
      <c r="J768" s="81">
        <f t="shared" si="44"/>
        <v>80</v>
      </c>
      <c r="O768" s="70" t="s">
        <v>50</v>
      </c>
      <c r="P768" s="67"/>
      <c r="Q768" s="68"/>
      <c r="R768" s="69" t="str">
        <f t="shared" si="43"/>
        <v/>
      </c>
      <c r="S768" s="70"/>
      <c r="T768" s="71"/>
      <c r="U768" s="71"/>
      <c r="V768" s="70"/>
      <c r="W768" s="70" t="s">
        <v>50</v>
      </c>
      <c r="X768" s="70" t="s">
        <v>123</v>
      </c>
      <c r="Y768" s="70" t="s">
        <v>123</v>
      </c>
      <c r="Z768" s="70"/>
      <c r="AA768" s="74"/>
      <c r="AB768" s="70"/>
      <c r="AC768" s="70"/>
      <c r="AD768" s="70"/>
      <c r="AE768" s="70"/>
      <c r="AF768" s="70"/>
    </row>
    <row r="769" spans="1:32">
      <c r="A769" s="19" t="s">
        <v>1183</v>
      </c>
      <c r="B769" s="4" t="s">
        <v>1201</v>
      </c>
      <c r="C769" s="63" t="s">
        <v>899</v>
      </c>
      <c r="D769" s="70" t="s">
        <v>54</v>
      </c>
      <c r="E769" s="41"/>
      <c r="F769" s="4" t="s">
        <v>78</v>
      </c>
      <c r="G769" s="49"/>
      <c r="H769" s="49">
        <v>45891</v>
      </c>
      <c r="I769" s="49">
        <v>45986</v>
      </c>
      <c r="J769" s="81">
        <f t="shared" si="44"/>
        <v>96</v>
      </c>
      <c r="O769" s="70" t="s">
        <v>50</v>
      </c>
      <c r="P769" s="67"/>
      <c r="Q769" s="68"/>
      <c r="R769" s="69" t="str">
        <f t="shared" si="43"/>
        <v/>
      </c>
      <c r="S769" s="70"/>
      <c r="T769" s="71"/>
      <c r="U769" s="71"/>
      <c r="V769" s="70"/>
      <c r="W769" s="70" t="s">
        <v>50</v>
      </c>
      <c r="X769" s="70" t="s">
        <v>123</v>
      </c>
      <c r="Y769" s="70" t="s">
        <v>123</v>
      </c>
      <c r="Z769" s="70"/>
      <c r="AA769" s="74"/>
      <c r="AB769" s="70"/>
      <c r="AC769" s="70"/>
      <c r="AD769" s="70"/>
      <c r="AE769" s="70"/>
      <c r="AF769" s="70"/>
    </row>
    <row r="770" spans="1:32">
      <c r="A770" s="19" t="s">
        <v>1202</v>
      </c>
      <c r="B770" s="4" t="s">
        <v>1203</v>
      </c>
      <c r="C770" s="63">
        <v>76</v>
      </c>
      <c r="D770" s="70" t="s">
        <v>48</v>
      </c>
      <c r="E770" s="33"/>
      <c r="F770" s="4" t="s">
        <v>1204</v>
      </c>
      <c r="G770" s="49">
        <v>44958</v>
      </c>
      <c r="H770" s="49">
        <v>44791</v>
      </c>
      <c r="I770" s="49">
        <v>45155</v>
      </c>
      <c r="J770" s="81">
        <f t="shared" ref="J770:J783" si="45">IF(AND(H770&lt;&gt;"",I770&lt;&gt;""),I770-H770+1,"")</f>
        <v>365</v>
      </c>
      <c r="O770" s="70" t="s">
        <v>50</v>
      </c>
      <c r="P770" s="67"/>
      <c r="Q770" s="75"/>
      <c r="R770" s="69" t="str">
        <f t="shared" si="43"/>
        <v/>
      </c>
      <c r="S770" s="70"/>
      <c r="T770" s="76"/>
      <c r="U770" s="76"/>
      <c r="V770" s="70"/>
      <c r="W770" s="70" t="s">
        <v>50</v>
      </c>
      <c r="X770" s="70" t="s">
        <v>50</v>
      </c>
      <c r="Y770" s="70" t="s">
        <v>50</v>
      </c>
      <c r="Z770" s="70" t="s">
        <v>50</v>
      </c>
      <c r="AA770" s="74" t="s">
        <v>108</v>
      </c>
      <c r="AB770" s="74" t="s">
        <v>1205</v>
      </c>
      <c r="AC770" s="74" t="s">
        <v>1205</v>
      </c>
      <c r="AD770" s="74" t="s">
        <v>1205</v>
      </c>
      <c r="AE770" s="74" t="s">
        <v>1205</v>
      </c>
      <c r="AF770" s="74" t="s">
        <v>1205</v>
      </c>
    </row>
    <row r="771" spans="1:32">
      <c r="A771" s="19" t="s">
        <v>1202</v>
      </c>
      <c r="B771" s="4" t="s">
        <v>1206</v>
      </c>
      <c r="C771" s="63">
        <v>48</v>
      </c>
      <c r="D771" s="70" t="s">
        <v>48</v>
      </c>
      <c r="E771" s="33"/>
      <c r="F771" s="4" t="s">
        <v>1207</v>
      </c>
      <c r="G771" s="49"/>
      <c r="H771" s="49">
        <v>44798</v>
      </c>
      <c r="I771" s="49">
        <v>45162</v>
      </c>
      <c r="J771" s="81">
        <f t="shared" si="45"/>
        <v>365</v>
      </c>
      <c r="O771" s="70" t="s">
        <v>51</v>
      </c>
      <c r="P771" s="67"/>
      <c r="Q771" s="75"/>
      <c r="R771" s="69" t="str">
        <f t="shared" si="43"/>
        <v/>
      </c>
      <c r="S771" s="70"/>
      <c r="T771" s="76"/>
      <c r="U771" s="76"/>
      <c r="V771" s="70"/>
      <c r="W771" s="70" t="s">
        <v>51</v>
      </c>
      <c r="X771" s="70" t="s">
        <v>51</v>
      </c>
      <c r="Y771" s="70" t="s">
        <v>51</v>
      </c>
      <c r="Z771" s="70" t="s">
        <v>51</v>
      </c>
      <c r="AA771" s="74" t="s">
        <v>52</v>
      </c>
      <c r="AB771" s="70"/>
      <c r="AC771" s="74"/>
      <c r="AD771" s="70"/>
      <c r="AE771" s="74"/>
      <c r="AF771" s="74"/>
    </row>
    <row r="772" spans="1:32">
      <c r="A772" s="4" t="s">
        <v>1202</v>
      </c>
      <c r="B772" s="4" t="s">
        <v>1208</v>
      </c>
      <c r="C772" s="63">
        <v>20</v>
      </c>
      <c r="D772" s="70" t="s">
        <v>48</v>
      </c>
      <c r="E772" s="33"/>
      <c r="F772" s="4" t="s">
        <v>1209</v>
      </c>
      <c r="G772" s="49"/>
      <c r="H772" s="49">
        <v>44626</v>
      </c>
      <c r="I772" s="49">
        <v>45356</v>
      </c>
      <c r="J772" s="81">
        <f t="shared" si="45"/>
        <v>731</v>
      </c>
      <c r="O772" s="70" t="s">
        <v>51</v>
      </c>
      <c r="P772" s="67"/>
      <c r="Q772" s="75"/>
      <c r="R772" s="69" t="str">
        <f t="shared" si="43"/>
        <v/>
      </c>
      <c r="S772" s="70"/>
      <c r="T772" s="76"/>
      <c r="U772" s="76"/>
      <c r="V772" s="70"/>
      <c r="W772" s="70" t="s">
        <v>51</v>
      </c>
      <c r="X772" s="70" t="s">
        <v>51</v>
      </c>
      <c r="Y772" s="70" t="s">
        <v>51</v>
      </c>
      <c r="Z772" s="70" t="s">
        <v>51</v>
      </c>
      <c r="AA772" s="74" t="s">
        <v>52</v>
      </c>
      <c r="AB772" s="74"/>
      <c r="AC772" s="74"/>
      <c r="AD772" s="74"/>
      <c r="AE772" s="74"/>
      <c r="AF772" s="74"/>
    </row>
    <row r="773" spans="1:32">
      <c r="A773" s="19" t="s">
        <v>1210</v>
      </c>
      <c r="B773" s="4" t="s">
        <v>1211</v>
      </c>
      <c r="C773" s="4" t="s">
        <v>1212</v>
      </c>
      <c r="D773" s="4" t="s">
        <v>48</v>
      </c>
      <c r="E773" s="33"/>
      <c r="F773" s="19" t="s">
        <v>792</v>
      </c>
      <c r="G773" s="82">
        <v>45726</v>
      </c>
      <c r="H773" s="19">
        <v>45548</v>
      </c>
      <c r="I773" s="19"/>
      <c r="J773" s="83" t="str">
        <f t="shared" si="45"/>
        <v/>
      </c>
      <c r="O773" s="4" t="s">
        <v>166</v>
      </c>
      <c r="P773" s="35"/>
      <c r="Q773" s="36"/>
      <c r="R773" s="37" t="str">
        <f t="shared" si="43"/>
        <v/>
      </c>
      <c r="S773" s="4"/>
      <c r="T773" s="33"/>
      <c r="U773" s="33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spans="1:32">
      <c r="A774" s="19" t="s">
        <v>1210</v>
      </c>
      <c r="B774" s="4" t="s">
        <v>1213</v>
      </c>
      <c r="C774" s="4" t="s">
        <v>600</v>
      </c>
      <c r="D774" s="4" t="s">
        <v>48</v>
      </c>
      <c r="E774" s="33"/>
      <c r="F774" s="19" t="s">
        <v>792</v>
      </c>
      <c r="G774" s="82"/>
      <c r="H774" s="19">
        <v>45478</v>
      </c>
      <c r="I774" s="19"/>
      <c r="J774" s="83" t="str">
        <f t="shared" si="45"/>
        <v/>
      </c>
      <c r="O774" s="4" t="s">
        <v>172</v>
      </c>
      <c r="P774" s="35"/>
      <c r="Q774" s="36"/>
      <c r="R774" s="37" t="str">
        <f t="shared" si="43"/>
        <v/>
      </c>
      <c r="S774" s="4"/>
      <c r="T774" s="33"/>
      <c r="U774" s="33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spans="1:32">
      <c r="A775" s="19" t="s">
        <v>1210</v>
      </c>
      <c r="B775" s="4" t="s">
        <v>1214</v>
      </c>
      <c r="C775" s="4" t="s">
        <v>590</v>
      </c>
      <c r="D775" s="4" t="s">
        <v>54</v>
      </c>
      <c r="E775" s="33"/>
      <c r="F775" s="19" t="s">
        <v>790</v>
      </c>
      <c r="G775" s="82"/>
      <c r="H775" s="19">
        <v>45279</v>
      </c>
      <c r="I775" s="19">
        <v>45460</v>
      </c>
      <c r="J775" s="83">
        <f t="shared" si="45"/>
        <v>182</v>
      </c>
      <c r="O775" s="4" t="s">
        <v>166</v>
      </c>
      <c r="P775" s="35"/>
      <c r="Q775" s="36"/>
      <c r="R775" s="37" t="str">
        <f t="shared" si="43"/>
        <v/>
      </c>
      <c r="S775" s="4"/>
      <c r="T775" s="33"/>
      <c r="U775" s="33"/>
      <c r="V775" s="4"/>
      <c r="W775" s="4" t="s">
        <v>343</v>
      </c>
      <c r="X775" s="4" t="s">
        <v>166</v>
      </c>
      <c r="Y775" s="4"/>
      <c r="Z775" s="4"/>
      <c r="AA775" s="4"/>
      <c r="AB775" s="4"/>
      <c r="AC775" s="4"/>
      <c r="AD775" s="4"/>
      <c r="AE775" s="4"/>
      <c r="AF775" s="4"/>
    </row>
    <row r="776" spans="1:32">
      <c r="A776" s="19" t="s">
        <v>1210</v>
      </c>
      <c r="B776" s="4" t="s">
        <v>1215</v>
      </c>
      <c r="C776" s="4"/>
      <c r="D776" s="4"/>
      <c r="E776" s="33"/>
      <c r="F776" s="19" t="s">
        <v>792</v>
      </c>
      <c r="G776" s="82"/>
      <c r="H776" s="19">
        <v>45043</v>
      </c>
      <c r="I776" s="19"/>
      <c r="J776" s="83" t="str">
        <f t="shared" si="45"/>
        <v/>
      </c>
      <c r="O776" s="4"/>
      <c r="P776" s="35"/>
      <c r="Q776" s="36"/>
      <c r="R776" s="37" t="str">
        <f t="shared" si="43"/>
        <v/>
      </c>
      <c r="S776" s="4"/>
      <c r="T776" s="33"/>
      <c r="U776" s="33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spans="1:32">
      <c r="A777" s="19" t="s">
        <v>1210</v>
      </c>
      <c r="B777" s="4" t="s">
        <v>1216</v>
      </c>
      <c r="C777" s="4" t="s">
        <v>1217</v>
      </c>
      <c r="D777" s="4" t="s">
        <v>48</v>
      </c>
      <c r="E777" s="33"/>
      <c r="F777" s="19" t="s">
        <v>1218</v>
      </c>
      <c r="G777" s="82"/>
      <c r="H777" s="19">
        <v>45037</v>
      </c>
      <c r="I777" s="19">
        <v>45223</v>
      </c>
      <c r="J777" s="83">
        <f t="shared" si="45"/>
        <v>187</v>
      </c>
      <c r="O777" s="4" t="s">
        <v>172</v>
      </c>
      <c r="P777" s="35"/>
      <c r="Q777" s="36"/>
      <c r="R777" s="37" t="str">
        <f t="shared" si="43"/>
        <v/>
      </c>
      <c r="S777" s="4"/>
      <c r="T777" s="33"/>
      <c r="U777" s="33"/>
      <c r="V777" s="4"/>
      <c r="W777" s="4" t="s">
        <v>172</v>
      </c>
      <c r="X777" s="4" t="s">
        <v>343</v>
      </c>
      <c r="Y777" s="4"/>
      <c r="Z777" s="4"/>
      <c r="AA777" s="4"/>
      <c r="AB777" s="4"/>
      <c r="AC777" s="4"/>
      <c r="AD777" s="4"/>
      <c r="AE777" s="4"/>
      <c r="AF777" s="4"/>
    </row>
    <row r="778" spans="1:32">
      <c r="A778" s="19" t="s">
        <v>1210</v>
      </c>
      <c r="B778" s="4" t="s">
        <v>1219</v>
      </c>
      <c r="C778" s="4" t="s">
        <v>1220</v>
      </c>
      <c r="D778" s="4" t="s">
        <v>48</v>
      </c>
      <c r="E778" s="33"/>
      <c r="F778" s="19" t="s">
        <v>799</v>
      </c>
      <c r="G778" s="82"/>
      <c r="H778" s="19">
        <v>44946</v>
      </c>
      <c r="I778" s="19"/>
      <c r="J778" s="83" t="str">
        <f t="shared" si="45"/>
        <v/>
      </c>
      <c r="O778" s="4"/>
      <c r="P778" s="35"/>
      <c r="Q778" s="36"/>
      <c r="R778" s="37" t="str">
        <f t="shared" si="43"/>
        <v/>
      </c>
      <c r="S778" s="4"/>
      <c r="T778" s="33"/>
      <c r="U778" s="33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spans="1:32">
      <c r="A779" s="19" t="s">
        <v>1210</v>
      </c>
      <c r="B779" s="4" t="s">
        <v>1221</v>
      </c>
      <c r="C779" s="4" t="s">
        <v>590</v>
      </c>
      <c r="D779" s="4" t="s">
        <v>54</v>
      </c>
      <c r="E779" s="33"/>
      <c r="F779" s="19" t="s">
        <v>1218</v>
      </c>
      <c r="G779" s="82"/>
      <c r="H779" s="19">
        <v>44994</v>
      </c>
      <c r="I779" s="19">
        <v>45174</v>
      </c>
      <c r="J779" s="83">
        <f t="shared" si="45"/>
        <v>181</v>
      </c>
      <c r="O779" s="4" t="s">
        <v>166</v>
      </c>
      <c r="P779" s="35"/>
      <c r="Q779" s="36"/>
      <c r="R779" s="37" t="str">
        <f t="shared" si="43"/>
        <v/>
      </c>
      <c r="S779" s="4"/>
      <c r="T779" s="33"/>
      <c r="U779" s="33"/>
      <c r="V779" s="4"/>
      <c r="W779" s="4" t="s">
        <v>343</v>
      </c>
      <c r="X779" s="4" t="s">
        <v>166</v>
      </c>
      <c r="Y779" s="4"/>
      <c r="Z779" s="4"/>
      <c r="AA779" s="4"/>
      <c r="AB779" s="4"/>
      <c r="AC779" s="4"/>
      <c r="AD779" s="4"/>
      <c r="AE779" s="4"/>
      <c r="AF779" s="4"/>
    </row>
    <row r="780" spans="1:32">
      <c r="A780" s="19" t="s">
        <v>1210</v>
      </c>
      <c r="B780" s="4" t="s">
        <v>1222</v>
      </c>
      <c r="C780" s="4" t="s">
        <v>638</v>
      </c>
      <c r="D780" s="4" t="s">
        <v>48</v>
      </c>
      <c r="E780" s="33"/>
      <c r="F780" s="19" t="s">
        <v>799</v>
      </c>
      <c r="G780" s="82">
        <v>45222</v>
      </c>
      <c r="H780" s="19">
        <v>45023</v>
      </c>
      <c r="I780" s="19">
        <v>45220</v>
      </c>
      <c r="J780" s="83">
        <f t="shared" si="45"/>
        <v>198</v>
      </c>
      <c r="O780" s="4" t="s">
        <v>343</v>
      </c>
      <c r="P780" s="35"/>
      <c r="Q780" s="36"/>
      <c r="R780" s="37" t="str">
        <f t="shared" si="43"/>
        <v/>
      </c>
      <c r="S780" s="4"/>
      <c r="T780" s="33"/>
      <c r="U780" s="33"/>
      <c r="V780" s="4"/>
      <c r="W780" s="4" t="s">
        <v>166</v>
      </c>
      <c r="X780" s="4" t="s">
        <v>343</v>
      </c>
      <c r="Y780" s="4"/>
      <c r="Z780" s="4"/>
      <c r="AA780" s="4"/>
      <c r="AB780" s="4"/>
      <c r="AC780" s="4"/>
      <c r="AD780" s="4"/>
      <c r="AE780" s="4"/>
      <c r="AF780" s="4"/>
    </row>
    <row r="781" spans="1:32">
      <c r="A781" s="19" t="s">
        <v>1210</v>
      </c>
      <c r="B781" s="4" t="s">
        <v>1223</v>
      </c>
      <c r="C781" s="4" t="s">
        <v>1224</v>
      </c>
      <c r="D781" s="4" t="s">
        <v>48</v>
      </c>
      <c r="E781" s="33"/>
      <c r="F781" s="19" t="s">
        <v>1218</v>
      </c>
      <c r="G781" s="82"/>
      <c r="H781" s="19">
        <v>44830</v>
      </c>
      <c r="I781" s="19">
        <v>45005</v>
      </c>
      <c r="J781" s="83">
        <f t="shared" si="45"/>
        <v>176</v>
      </c>
      <c r="O781" s="4" t="s">
        <v>172</v>
      </c>
      <c r="P781" s="35"/>
      <c r="Q781" s="36"/>
      <c r="R781" s="37" t="str">
        <f t="shared" si="43"/>
        <v/>
      </c>
      <c r="S781" s="4"/>
      <c r="T781" s="33"/>
      <c r="U781" s="33"/>
      <c r="V781" s="4"/>
      <c r="W781" s="4" t="s">
        <v>343</v>
      </c>
      <c r="X781" s="4" t="s">
        <v>343</v>
      </c>
      <c r="Y781" s="4"/>
      <c r="Z781" s="4"/>
      <c r="AA781" s="4"/>
      <c r="AB781" s="4"/>
      <c r="AC781" s="4"/>
      <c r="AD781" s="4"/>
      <c r="AE781" s="4"/>
      <c r="AF781" s="4"/>
    </row>
    <row r="782" spans="1:32">
      <c r="A782" s="19" t="s">
        <v>1210</v>
      </c>
      <c r="B782" s="4" t="s">
        <v>1225</v>
      </c>
      <c r="C782" s="4" t="s">
        <v>610</v>
      </c>
      <c r="D782" s="4" t="s">
        <v>48</v>
      </c>
      <c r="E782" s="33"/>
      <c r="F782" s="19" t="s">
        <v>799</v>
      </c>
      <c r="G782" s="82">
        <v>44965</v>
      </c>
      <c r="H782" s="19">
        <v>44778</v>
      </c>
      <c r="I782" s="19">
        <v>44965</v>
      </c>
      <c r="J782" s="83">
        <f t="shared" si="45"/>
        <v>188</v>
      </c>
      <c r="O782" s="4" t="s">
        <v>343</v>
      </c>
      <c r="P782" s="35"/>
      <c r="Q782" s="36"/>
      <c r="R782" s="37" t="str">
        <f t="shared" si="43"/>
        <v/>
      </c>
      <c r="S782" s="4"/>
      <c r="T782" s="33"/>
      <c r="U782" s="33"/>
      <c r="V782" s="4"/>
      <c r="W782" s="4" t="s">
        <v>343</v>
      </c>
      <c r="X782" s="4" t="s">
        <v>343</v>
      </c>
      <c r="Y782" s="4"/>
      <c r="Z782" s="4"/>
      <c r="AA782" s="4"/>
      <c r="AB782" s="4"/>
      <c r="AC782" s="4"/>
      <c r="AD782" s="4"/>
      <c r="AE782" s="4"/>
      <c r="AF782" s="4"/>
    </row>
    <row r="783" spans="1:32">
      <c r="A783" s="19" t="s">
        <v>1210</v>
      </c>
      <c r="B783" s="4" t="s">
        <v>1226</v>
      </c>
      <c r="C783" s="4" t="s">
        <v>651</v>
      </c>
      <c r="D783" s="4" t="s">
        <v>54</v>
      </c>
      <c r="E783" s="33"/>
      <c r="F783" s="19" t="s">
        <v>792</v>
      </c>
      <c r="G783" s="82"/>
      <c r="H783" s="19">
        <v>44778</v>
      </c>
      <c r="I783" s="19">
        <v>44991</v>
      </c>
      <c r="J783" s="83">
        <f t="shared" si="45"/>
        <v>214</v>
      </c>
      <c r="O783" s="4" t="s">
        <v>343</v>
      </c>
      <c r="P783" s="35"/>
      <c r="Q783" s="36"/>
      <c r="R783" s="37" t="str">
        <f t="shared" si="43"/>
        <v/>
      </c>
      <c r="S783" s="4"/>
      <c r="T783" s="33"/>
      <c r="U783" s="33"/>
      <c r="V783" s="4"/>
      <c r="W783" s="4" t="s">
        <v>343</v>
      </c>
      <c r="X783" s="4" t="s">
        <v>166</v>
      </c>
      <c r="Y783" s="4"/>
      <c r="Z783" s="4"/>
      <c r="AA783" s="4"/>
      <c r="AB783" s="4"/>
      <c r="AC783" s="4"/>
      <c r="AD783" s="4"/>
      <c r="AE783" s="4"/>
      <c r="AF783" s="4"/>
    </row>
  </sheetData>
  <sheetProtection formatCells="0" formatColumns="0" formatRows="0" insertRows="0" insertColumns="0" insertHyperlinks="0" deleteColumns="0" deleteRows="0" sort="0" autoFilter="0" pivotTables="0"/>
  <conditionalFormatting sqref="X346">
    <cfRule type="expression" dxfId="0" priority="2173">
      <formula>AND($B346&lt;&gt;"",ISBLANK(X346))</formula>
    </cfRule>
  </conditionalFormatting>
  <conditionalFormatting sqref="Y346:Z346">
    <cfRule type="expression" dxfId="0" priority="2172">
      <formula>AND($B346&lt;&gt;"",ISBLANK(Y346))</formula>
    </cfRule>
  </conditionalFormatting>
  <conditionalFormatting sqref="Y356">
    <cfRule type="expression" dxfId="0" priority="2169">
      <formula>AND($B356&lt;&gt;"",ISBLANK(Y356))</formula>
    </cfRule>
  </conditionalFormatting>
  <conditionalFormatting sqref="Y358">
    <cfRule type="expression" dxfId="0" priority="2167">
      <formula>AND($B358&lt;&gt;"",ISBLANK(Y358))</formula>
    </cfRule>
  </conditionalFormatting>
  <conditionalFormatting sqref="Z358">
    <cfRule type="expression" dxfId="0" priority="2168">
      <formula>AND($B358&lt;&gt;"",ISBLANK(Z358))</formula>
    </cfRule>
  </conditionalFormatting>
  <conditionalFormatting sqref="Z362">
    <cfRule type="expression" dxfId="0" priority="2181">
      <formula>AND($B362&lt;&gt;"",ISBLANK(Z362))</formula>
    </cfRule>
  </conditionalFormatting>
  <conditionalFormatting sqref="Y363:Z363">
    <cfRule type="expression" dxfId="0" priority="2166">
      <formula>AND($B363&lt;&gt;"",ISBLANK(Y363))</formula>
    </cfRule>
  </conditionalFormatting>
  <conditionalFormatting sqref="Z365">
    <cfRule type="expression" dxfId="0" priority="2164">
      <formula>AND($B365&lt;&gt;"",ISBLANK(Z365))</formula>
    </cfRule>
  </conditionalFormatting>
  <conditionalFormatting sqref="X378:Z378">
    <cfRule type="expression" dxfId="0" priority="2159">
      <formula>AND($B378&lt;&gt;"",ISBLANK(X378))</formula>
    </cfRule>
  </conditionalFormatting>
  <conditionalFormatting sqref="AE411">
    <cfRule type="expression" dxfId="0" priority="2099">
      <formula>AND($B411&lt;&gt;"",ISBLANK(AE411))</formula>
    </cfRule>
  </conditionalFormatting>
  <conditionalFormatting sqref="AF411">
    <cfRule type="expression" dxfId="0" priority="2098">
      <formula>AND($B411&lt;&gt;"",ISBLANK(AF411))</formula>
    </cfRule>
  </conditionalFormatting>
  <conditionalFormatting sqref="AA412">
    <cfRule type="expression" dxfId="0" priority="2093">
      <formula>AND($B412&lt;&gt;"",ISBLANK(AA412))</formula>
    </cfRule>
  </conditionalFormatting>
  <conditionalFormatting sqref="AB412">
    <cfRule type="expression" dxfId="0" priority="2092">
      <formula>AND($B412&lt;&gt;"",ISBLANK(AB412))</formula>
    </cfRule>
  </conditionalFormatting>
  <conditionalFormatting sqref="AC412">
    <cfRule type="expression" dxfId="0" priority="2095">
      <formula>AND($B412&lt;&gt;"",ISBLANK(AC412))</formula>
    </cfRule>
  </conditionalFormatting>
  <conditionalFormatting sqref="AD412">
    <cfRule type="expression" dxfId="0" priority="2094">
      <formula>AND($B412&lt;&gt;"",ISBLANK(AD412))</formula>
    </cfRule>
  </conditionalFormatting>
  <conditionalFormatting sqref="AE412">
    <cfRule type="expression" dxfId="0" priority="2096">
      <formula>AND($B412&lt;&gt;"",ISBLANK(AE412))</formula>
    </cfRule>
  </conditionalFormatting>
  <conditionalFormatting sqref="AF412">
    <cfRule type="expression" dxfId="0" priority="2097">
      <formula>AND($B412&lt;&gt;"",ISBLANK(AF412))</formula>
    </cfRule>
  </conditionalFormatting>
  <conditionalFormatting sqref="AA413">
    <cfRule type="expression" dxfId="0" priority="2089">
      <formula>AND($B413&lt;&gt;"",ISBLANK(AA413))</formula>
    </cfRule>
  </conditionalFormatting>
  <conditionalFormatting sqref="AB413">
    <cfRule type="expression" dxfId="0" priority="2088">
      <formula>AND($B413&lt;&gt;"",ISBLANK(AB413))</formula>
    </cfRule>
  </conditionalFormatting>
  <conditionalFormatting sqref="AC413">
    <cfRule type="expression" dxfId="0" priority="2091">
      <formula>AND($B413&lt;&gt;"",ISBLANK(AC413))</formula>
    </cfRule>
  </conditionalFormatting>
  <conditionalFormatting sqref="AD413">
    <cfRule type="expression" dxfId="0" priority="2090">
      <formula>AND($B413&lt;&gt;"",ISBLANK(AD413))</formula>
    </cfRule>
  </conditionalFormatting>
  <conditionalFormatting sqref="AE413">
    <cfRule type="expression" dxfId="0" priority="2087">
      <formula>AND($B413&lt;&gt;"",ISBLANK(AE413))</formula>
    </cfRule>
  </conditionalFormatting>
  <conditionalFormatting sqref="AF413">
    <cfRule type="expression" dxfId="0" priority="2086">
      <formula>AND($B413&lt;&gt;"",ISBLANK(AF413))</formula>
    </cfRule>
  </conditionalFormatting>
  <conditionalFormatting sqref="AA414">
    <cfRule type="expression" dxfId="0" priority="2081">
      <formula>AND($B414&lt;&gt;"",ISBLANK(AA414))</formula>
    </cfRule>
  </conditionalFormatting>
  <conditionalFormatting sqref="AB414">
    <cfRule type="expression" dxfId="0" priority="2080">
      <formula>AND($B414&lt;&gt;"",ISBLANK(AB414))</formula>
    </cfRule>
  </conditionalFormatting>
  <conditionalFormatting sqref="AC414">
    <cfRule type="expression" dxfId="0" priority="2083">
      <formula>AND($B414&lt;&gt;"",ISBLANK(AC414))</formula>
    </cfRule>
  </conditionalFormatting>
  <conditionalFormatting sqref="AD414">
    <cfRule type="expression" dxfId="0" priority="2082">
      <formula>AND($B414&lt;&gt;"",ISBLANK(AD414))</formula>
    </cfRule>
  </conditionalFormatting>
  <conditionalFormatting sqref="AE414">
    <cfRule type="expression" dxfId="0" priority="2084">
      <formula>AND($B414&lt;&gt;"",ISBLANK(AE414))</formula>
    </cfRule>
  </conditionalFormatting>
  <conditionalFormatting sqref="AF414">
    <cfRule type="expression" dxfId="0" priority="2085">
      <formula>AND($B414&lt;&gt;"",ISBLANK(AF414))</formula>
    </cfRule>
  </conditionalFormatting>
  <conditionalFormatting sqref="AC415">
    <cfRule type="expression" dxfId="0" priority="2079">
      <formula>AND($B415&lt;&gt;"",ISBLANK(AC415))</formula>
    </cfRule>
  </conditionalFormatting>
  <conditionalFormatting sqref="AD415">
    <cfRule type="expression" dxfId="0" priority="2078">
      <formula>AND($B415&lt;&gt;"",ISBLANK(AD415))</formula>
    </cfRule>
  </conditionalFormatting>
  <conditionalFormatting sqref="AE415">
    <cfRule type="expression" dxfId="0" priority="2077">
      <formula>AND($B415&lt;&gt;"",ISBLANK(AE415))</formula>
    </cfRule>
  </conditionalFormatting>
  <conditionalFormatting sqref="AF415">
    <cfRule type="expression" dxfId="0" priority="2076">
      <formula>AND($B415&lt;&gt;"",ISBLANK(AF415))</formula>
    </cfRule>
  </conditionalFormatting>
  <conditionalFormatting sqref="AA416">
    <cfRule type="expression" dxfId="0" priority="2075">
      <formula>AND($B416&lt;&gt;"",ISBLANK(AA416))</formula>
    </cfRule>
  </conditionalFormatting>
  <conditionalFormatting sqref="AB416">
    <cfRule type="expression" dxfId="0" priority="2074">
      <formula>AND($B416&lt;&gt;"",ISBLANK(AB416))</formula>
    </cfRule>
  </conditionalFormatting>
  <conditionalFormatting sqref="AC416">
    <cfRule type="expression" dxfId="0" priority="2073">
      <formula>AND($B416&lt;&gt;"",ISBLANK(AC416))</formula>
    </cfRule>
  </conditionalFormatting>
  <conditionalFormatting sqref="AD416">
    <cfRule type="expression" dxfId="0" priority="2072">
      <formula>AND($B416&lt;&gt;"",ISBLANK(AD416))</formula>
    </cfRule>
  </conditionalFormatting>
  <conditionalFormatting sqref="AE416">
    <cfRule type="expression" dxfId="0" priority="2071">
      <formula>AND($B416&lt;&gt;"",ISBLANK(AE416))</formula>
    </cfRule>
  </conditionalFormatting>
  <conditionalFormatting sqref="AF416">
    <cfRule type="expression" dxfId="0" priority="2070">
      <formula>AND($B416&lt;&gt;"",ISBLANK(AF416))</formula>
    </cfRule>
  </conditionalFormatting>
  <conditionalFormatting sqref="AA417">
    <cfRule type="expression" dxfId="0" priority="2067">
      <formula>AND($B417&lt;&gt;"",ISBLANK(AA417))</formula>
    </cfRule>
  </conditionalFormatting>
  <conditionalFormatting sqref="AB417">
    <cfRule type="expression" dxfId="0" priority="2066">
      <formula>AND($B417&lt;&gt;"",ISBLANK(AB417))</formula>
    </cfRule>
  </conditionalFormatting>
  <conditionalFormatting sqref="AC417">
    <cfRule type="expression" dxfId="0" priority="2069">
      <formula>AND($B417&lt;&gt;"",ISBLANK(AC417))</formula>
    </cfRule>
  </conditionalFormatting>
  <conditionalFormatting sqref="AD417">
    <cfRule type="expression" dxfId="0" priority="2068">
      <formula>AND($B417&lt;&gt;"",ISBLANK(AD417))</formula>
    </cfRule>
  </conditionalFormatting>
  <conditionalFormatting sqref="AE417">
    <cfRule type="expression" dxfId="0" priority="2065">
      <formula>AND($B417&lt;&gt;"",ISBLANK(AE417))</formula>
    </cfRule>
  </conditionalFormatting>
  <conditionalFormatting sqref="AF417">
    <cfRule type="expression" dxfId="0" priority="2064">
      <formula>AND($B417&lt;&gt;"",ISBLANK(AF417))</formula>
    </cfRule>
  </conditionalFormatting>
  <conditionalFormatting sqref="AA418">
    <cfRule type="expression" dxfId="0" priority="2059">
      <formula>AND($B418&lt;&gt;"",ISBLANK(AA418))</formula>
    </cfRule>
  </conditionalFormatting>
  <conditionalFormatting sqref="AB418">
    <cfRule type="expression" dxfId="0" priority="2058">
      <formula>AND($B418&lt;&gt;"",ISBLANK(AB418))</formula>
    </cfRule>
  </conditionalFormatting>
  <conditionalFormatting sqref="AC418">
    <cfRule type="expression" dxfId="0" priority="2061">
      <formula>AND($B418&lt;&gt;"",ISBLANK(AC418))</formula>
    </cfRule>
  </conditionalFormatting>
  <conditionalFormatting sqref="AD418">
    <cfRule type="expression" dxfId="0" priority="2060">
      <formula>AND($B418&lt;&gt;"",ISBLANK(AD418))</formula>
    </cfRule>
  </conditionalFormatting>
  <conditionalFormatting sqref="AE418">
    <cfRule type="expression" dxfId="0" priority="2062">
      <formula>AND($B418&lt;&gt;"",ISBLANK(AE418))</formula>
    </cfRule>
  </conditionalFormatting>
  <conditionalFormatting sqref="AF418">
    <cfRule type="expression" dxfId="0" priority="2063">
      <formula>AND($B418&lt;&gt;"",ISBLANK(AF418))</formula>
    </cfRule>
  </conditionalFormatting>
  <conditionalFormatting sqref="AA420">
    <cfRule type="expression" dxfId="0" priority="2053">
      <formula>AND($B420&lt;&gt;"",ISBLANK(AA420))</formula>
    </cfRule>
  </conditionalFormatting>
  <conditionalFormatting sqref="AB420">
    <cfRule type="expression" dxfId="0" priority="2052">
      <formula>AND($B420&lt;&gt;"",ISBLANK(AB420))</formula>
    </cfRule>
  </conditionalFormatting>
  <conditionalFormatting sqref="AC420">
    <cfRule type="expression" dxfId="0" priority="2055">
      <formula>AND($B420&lt;&gt;"",ISBLANK(AC420))</formula>
    </cfRule>
  </conditionalFormatting>
  <conditionalFormatting sqref="AD420">
    <cfRule type="expression" dxfId="0" priority="2054">
      <formula>AND($B420&lt;&gt;"",ISBLANK(AD420))</formula>
    </cfRule>
  </conditionalFormatting>
  <conditionalFormatting sqref="AE420">
    <cfRule type="expression" dxfId="0" priority="2056">
      <formula>AND($B420&lt;&gt;"",ISBLANK(AE420))</formula>
    </cfRule>
  </conditionalFormatting>
  <conditionalFormatting sqref="AF420">
    <cfRule type="expression" dxfId="0" priority="2057">
      <formula>AND($B420&lt;&gt;"",ISBLANK(AF420))</formula>
    </cfRule>
  </conditionalFormatting>
  <conditionalFormatting sqref="AA421">
    <cfRule type="expression" dxfId="0" priority="2047">
      <formula>AND($B421&lt;&gt;"",ISBLANK(AA421))</formula>
    </cfRule>
  </conditionalFormatting>
  <conditionalFormatting sqref="AB421">
    <cfRule type="expression" dxfId="0" priority="2046">
      <formula>AND($B421&lt;&gt;"",ISBLANK(AB421))</formula>
    </cfRule>
  </conditionalFormatting>
  <conditionalFormatting sqref="AC421">
    <cfRule type="expression" dxfId="0" priority="2049">
      <formula>AND($B421&lt;&gt;"",ISBLANK(AC421))</formula>
    </cfRule>
  </conditionalFormatting>
  <conditionalFormatting sqref="AD421">
    <cfRule type="expression" dxfId="0" priority="2048">
      <formula>AND($B421&lt;&gt;"",ISBLANK(AD421))</formula>
    </cfRule>
  </conditionalFormatting>
  <conditionalFormatting sqref="AE421">
    <cfRule type="expression" dxfId="0" priority="2050">
      <formula>AND($B421&lt;&gt;"",ISBLANK(AE421))</formula>
    </cfRule>
  </conditionalFormatting>
  <conditionalFormatting sqref="AF421">
    <cfRule type="expression" dxfId="0" priority="2051">
      <formula>AND($B421&lt;&gt;"",ISBLANK(AF421))</formula>
    </cfRule>
  </conditionalFormatting>
  <conditionalFormatting sqref="AC423">
    <cfRule type="expression" dxfId="0" priority="2043">
      <formula>AND($B423&lt;&gt;"",ISBLANK(AC423))</formula>
    </cfRule>
  </conditionalFormatting>
  <conditionalFormatting sqref="AD423">
    <cfRule type="expression" dxfId="0" priority="2042">
      <formula>AND($B423&lt;&gt;"",ISBLANK(AD423))</formula>
    </cfRule>
  </conditionalFormatting>
  <conditionalFormatting sqref="AE423">
    <cfRule type="expression" dxfId="0" priority="2044">
      <formula>AND($B423&lt;&gt;"",ISBLANK(AE423))</formula>
    </cfRule>
  </conditionalFormatting>
  <conditionalFormatting sqref="AF423">
    <cfRule type="expression" dxfId="0" priority="2045">
      <formula>AND($B423&lt;&gt;"",ISBLANK(AF423))</formula>
    </cfRule>
  </conditionalFormatting>
  <conditionalFormatting sqref="AA424">
    <cfRule type="expression" dxfId="0" priority="2041">
      <formula>AND($B424&lt;&gt;"",ISBLANK(AA424))</formula>
    </cfRule>
  </conditionalFormatting>
  <conditionalFormatting sqref="AB424">
    <cfRule type="expression" dxfId="0" priority="2040">
      <formula>AND($B424&lt;&gt;"",ISBLANK(AB424))</formula>
    </cfRule>
  </conditionalFormatting>
  <conditionalFormatting sqref="AC424">
    <cfRule type="expression" dxfId="0" priority="2037">
      <formula>AND($B424&lt;&gt;"",ISBLANK(AC424))</formula>
    </cfRule>
  </conditionalFormatting>
  <conditionalFormatting sqref="AD424">
    <cfRule type="expression" dxfId="0" priority="2036">
      <formula>AND($B424&lt;&gt;"",ISBLANK(AD424))</formula>
    </cfRule>
  </conditionalFormatting>
  <conditionalFormatting sqref="AE424">
    <cfRule type="expression" dxfId="0" priority="2038">
      <formula>AND($B424&lt;&gt;"",ISBLANK(AE424))</formula>
    </cfRule>
  </conditionalFormatting>
  <conditionalFormatting sqref="AF424">
    <cfRule type="expression" dxfId="0" priority="2039">
      <formula>AND($B424&lt;&gt;"",ISBLANK(AF424))</formula>
    </cfRule>
  </conditionalFormatting>
  <conditionalFormatting sqref="AA425">
    <cfRule type="expression" dxfId="0" priority="2031">
      <formula>AND($B425&lt;&gt;"",ISBLANK(AA425))</formula>
    </cfRule>
  </conditionalFormatting>
  <conditionalFormatting sqref="AB425">
    <cfRule type="expression" dxfId="0" priority="2030">
      <formula>AND($B425&lt;&gt;"",ISBLANK(AB425))</formula>
    </cfRule>
  </conditionalFormatting>
  <conditionalFormatting sqref="AC425">
    <cfRule type="expression" dxfId="0" priority="2033">
      <formula>AND($B425&lt;&gt;"",ISBLANK(AC425))</formula>
    </cfRule>
  </conditionalFormatting>
  <conditionalFormatting sqref="AD425">
    <cfRule type="expression" dxfId="0" priority="2032">
      <formula>AND($B425&lt;&gt;"",ISBLANK(AD425))</formula>
    </cfRule>
  </conditionalFormatting>
  <conditionalFormatting sqref="AE425">
    <cfRule type="expression" dxfId="0" priority="2034">
      <formula>AND($B425&lt;&gt;"",ISBLANK(AE425))</formula>
    </cfRule>
  </conditionalFormatting>
  <conditionalFormatting sqref="AF425">
    <cfRule type="expression" dxfId="0" priority="2035">
      <formula>AND($B425&lt;&gt;"",ISBLANK(AF425))</formula>
    </cfRule>
  </conditionalFormatting>
  <conditionalFormatting sqref="AA426">
    <cfRule type="expression" dxfId="0" priority="2027">
      <formula>AND($B426&lt;&gt;"",ISBLANK(AA426))</formula>
    </cfRule>
  </conditionalFormatting>
  <conditionalFormatting sqref="AB426">
    <cfRule type="expression" dxfId="0" priority="2026">
      <formula>AND($B426&lt;&gt;"",ISBLANK(AB426))</formula>
    </cfRule>
  </conditionalFormatting>
  <conditionalFormatting sqref="AC426">
    <cfRule type="expression" dxfId="0" priority="2029">
      <formula>AND($B426&lt;&gt;"",ISBLANK(AC426))</formula>
    </cfRule>
  </conditionalFormatting>
  <conditionalFormatting sqref="AD426">
    <cfRule type="expression" dxfId="0" priority="2028">
      <formula>AND($B426&lt;&gt;"",ISBLANK(AD426))</formula>
    </cfRule>
  </conditionalFormatting>
  <conditionalFormatting sqref="AA428">
    <cfRule type="expression" dxfId="0" priority="2025">
      <formula>AND($B428&lt;&gt;"",ISBLANK(AA428))</formula>
    </cfRule>
  </conditionalFormatting>
  <conditionalFormatting sqref="AB428">
    <cfRule type="expression" dxfId="0" priority="2024">
      <formula>AND($B428&lt;&gt;"",ISBLANK(AB428))</formula>
    </cfRule>
  </conditionalFormatting>
  <conditionalFormatting sqref="AC428">
    <cfRule type="expression" dxfId="0" priority="2021">
      <formula>AND($B428&lt;&gt;"",ISBLANK(AC428))</formula>
    </cfRule>
  </conditionalFormatting>
  <conditionalFormatting sqref="AD428">
    <cfRule type="expression" dxfId="0" priority="2020">
      <formula>AND($B428&lt;&gt;"",ISBLANK(AD428))</formula>
    </cfRule>
  </conditionalFormatting>
  <conditionalFormatting sqref="AE428">
    <cfRule type="expression" dxfId="0" priority="2022">
      <formula>AND($B428&lt;&gt;"",ISBLANK(AE428))</formula>
    </cfRule>
  </conditionalFormatting>
  <conditionalFormatting sqref="AF428">
    <cfRule type="expression" dxfId="0" priority="2023">
      <formula>AND($B428&lt;&gt;"",ISBLANK(AF428))</formula>
    </cfRule>
  </conditionalFormatting>
  <conditionalFormatting sqref="AA429">
    <cfRule type="expression" dxfId="0" priority="2015">
      <formula>AND($B429&lt;&gt;"",ISBLANK(AA429))</formula>
    </cfRule>
  </conditionalFormatting>
  <conditionalFormatting sqref="AB429">
    <cfRule type="expression" dxfId="0" priority="2014">
      <formula>AND($B429&lt;&gt;"",ISBLANK(AB429))</formula>
    </cfRule>
  </conditionalFormatting>
  <conditionalFormatting sqref="AC429">
    <cfRule type="expression" dxfId="0" priority="2017">
      <formula>AND($B429&lt;&gt;"",ISBLANK(AC429))</formula>
    </cfRule>
  </conditionalFormatting>
  <conditionalFormatting sqref="AD429">
    <cfRule type="expression" dxfId="0" priority="2016">
      <formula>AND($B429&lt;&gt;"",ISBLANK(AD429))</formula>
    </cfRule>
  </conditionalFormatting>
  <conditionalFormatting sqref="AE429">
    <cfRule type="expression" dxfId="0" priority="2018">
      <formula>AND($B429&lt;&gt;"",ISBLANK(AE429))</formula>
    </cfRule>
  </conditionalFormatting>
  <conditionalFormatting sqref="AF429">
    <cfRule type="expression" dxfId="0" priority="2019">
      <formula>AND($B429&lt;&gt;"",ISBLANK(AF429))</formula>
    </cfRule>
  </conditionalFormatting>
  <conditionalFormatting sqref="AA430">
    <cfRule type="expression" dxfId="0" priority="2013">
      <formula>AND($B430&lt;&gt;"",ISBLANK(AA430))</formula>
    </cfRule>
  </conditionalFormatting>
  <conditionalFormatting sqref="AB430">
    <cfRule type="expression" dxfId="0" priority="2012">
      <formula>AND($B430&lt;&gt;"",ISBLANK(AB430))</formula>
    </cfRule>
  </conditionalFormatting>
  <conditionalFormatting sqref="AC430">
    <cfRule type="expression" dxfId="0" priority="2009">
      <formula>AND($B430&lt;&gt;"",ISBLANK(AC430))</formula>
    </cfRule>
  </conditionalFormatting>
  <conditionalFormatting sqref="AD430">
    <cfRule type="expression" dxfId="0" priority="2008">
      <formula>AND($B430&lt;&gt;"",ISBLANK(AD430))</formula>
    </cfRule>
  </conditionalFormatting>
  <conditionalFormatting sqref="AE430">
    <cfRule type="expression" dxfId="0" priority="2010">
      <formula>AND($B430&lt;&gt;"",ISBLANK(AE430))</formula>
    </cfRule>
  </conditionalFormatting>
  <conditionalFormatting sqref="AF430">
    <cfRule type="expression" dxfId="0" priority="2011">
      <formula>AND($B430&lt;&gt;"",ISBLANK(AF430))</formula>
    </cfRule>
  </conditionalFormatting>
  <conditionalFormatting sqref="AA431">
    <cfRule type="expression" dxfId="0" priority="2007">
      <formula>AND($B431&lt;&gt;"",ISBLANK(AA431))</formula>
    </cfRule>
  </conditionalFormatting>
  <conditionalFormatting sqref="AB431">
    <cfRule type="expression" dxfId="0" priority="2006">
      <formula>AND($B431&lt;&gt;"",ISBLANK(AB431))</formula>
    </cfRule>
  </conditionalFormatting>
  <conditionalFormatting sqref="AC431">
    <cfRule type="expression" dxfId="0" priority="2003">
      <formula>AND($B431&lt;&gt;"",ISBLANK(AC431))</formula>
    </cfRule>
  </conditionalFormatting>
  <conditionalFormatting sqref="AD431">
    <cfRule type="expression" dxfId="0" priority="2002">
      <formula>AND($B431&lt;&gt;"",ISBLANK(AD431))</formula>
    </cfRule>
  </conditionalFormatting>
  <conditionalFormatting sqref="AE431">
    <cfRule type="expression" dxfId="0" priority="2004">
      <formula>AND($B431&lt;&gt;"",ISBLANK(AE431))</formula>
    </cfRule>
  </conditionalFormatting>
  <conditionalFormatting sqref="AF431">
    <cfRule type="expression" dxfId="0" priority="2005">
      <formula>AND($B431&lt;&gt;"",ISBLANK(AF431))</formula>
    </cfRule>
  </conditionalFormatting>
  <conditionalFormatting sqref="O432">
    <cfRule type="expression" dxfId="0" priority="2109">
      <formula>AND($B432&lt;&gt;"",ISBLANK(O432))</formula>
    </cfRule>
  </conditionalFormatting>
  <conditionalFormatting sqref="P432">
    <cfRule type="expression" dxfId="0" priority="2110">
      <formula>AND($B432&lt;&gt;"",ISBLANK(P432))</formula>
    </cfRule>
  </conditionalFormatting>
  <conditionalFormatting sqref="S432">
    <cfRule type="expression" dxfId="0" priority="2111">
      <formula>AND($B432&lt;&gt;"",ISBLANK(S432))</formula>
    </cfRule>
  </conditionalFormatting>
  <conditionalFormatting sqref="V432">
    <cfRule type="expression" dxfId="0" priority="2112">
      <formula>AND($B432&lt;&gt;"",ISBLANK(V432))</formula>
    </cfRule>
  </conditionalFormatting>
  <conditionalFormatting sqref="W432">
    <cfRule type="expression" dxfId="0" priority="2107">
      <formula>AND($B432&lt;&gt;"",ISBLANK(W432))</formula>
    </cfRule>
  </conditionalFormatting>
  <conditionalFormatting sqref="X432">
    <cfRule type="expression" dxfId="0" priority="2108">
      <formula>AND($B432&lt;&gt;"",ISBLANK(X432))</formula>
    </cfRule>
  </conditionalFormatting>
  <conditionalFormatting sqref="Y432">
    <cfRule type="expression" dxfId="0" priority="2106">
      <formula>AND($B432&lt;&gt;"",ISBLANK(Y432))</formula>
    </cfRule>
  </conditionalFormatting>
  <conditionalFormatting sqref="Z432">
    <cfRule type="expression" dxfId="0" priority="2113">
      <formula>AND($B432&lt;&gt;"",ISBLANK(Z432))</formula>
    </cfRule>
  </conditionalFormatting>
  <conditionalFormatting sqref="AA432">
    <cfRule type="expression" dxfId="0" priority="2001">
      <formula>AND($B432&lt;&gt;"",ISBLANK(AA432))</formula>
    </cfRule>
  </conditionalFormatting>
  <conditionalFormatting sqref="AB432">
    <cfRule type="expression" dxfId="0" priority="2000">
      <formula>AND($B432&lt;&gt;"",ISBLANK(AB432))</formula>
    </cfRule>
  </conditionalFormatting>
  <conditionalFormatting sqref="AC432">
    <cfRule type="expression" dxfId="0" priority="1999">
      <formula>AND($B432&lt;&gt;"",ISBLANK(AC432))</formula>
    </cfRule>
  </conditionalFormatting>
  <conditionalFormatting sqref="AD432">
    <cfRule type="expression" dxfId="0" priority="1998">
      <formula>AND($B432&lt;&gt;"",ISBLANK(AD432))</formula>
    </cfRule>
  </conditionalFormatting>
  <conditionalFormatting sqref="AE432">
    <cfRule type="expression" dxfId="0" priority="1997">
      <formula>AND($B432&lt;&gt;"",ISBLANK(AE432))</formula>
    </cfRule>
  </conditionalFormatting>
  <conditionalFormatting sqref="AF432">
    <cfRule type="expression" dxfId="0" priority="1996">
      <formula>AND($B432&lt;&gt;"",ISBLANK(AF432))</formula>
    </cfRule>
  </conditionalFormatting>
  <conditionalFormatting sqref="AA433">
    <cfRule type="expression" dxfId="0" priority="1995">
      <formula>AND($B433&lt;&gt;"",ISBLANK(AA433))</formula>
    </cfRule>
  </conditionalFormatting>
  <conditionalFormatting sqref="AB433">
    <cfRule type="expression" dxfId="0" priority="1994">
      <formula>AND($B433&lt;&gt;"",ISBLANK(AB433))</formula>
    </cfRule>
  </conditionalFormatting>
  <conditionalFormatting sqref="AC433">
    <cfRule type="expression" dxfId="0" priority="1991">
      <formula>AND($B433&lt;&gt;"",ISBLANK(AC433))</formula>
    </cfRule>
  </conditionalFormatting>
  <conditionalFormatting sqref="AD433">
    <cfRule type="expression" dxfId="0" priority="1990">
      <formula>AND($B433&lt;&gt;"",ISBLANK(AD433))</formula>
    </cfRule>
  </conditionalFormatting>
  <conditionalFormatting sqref="AE433">
    <cfRule type="expression" dxfId="0" priority="1992">
      <formula>AND($B433&lt;&gt;"",ISBLANK(AE433))</formula>
    </cfRule>
  </conditionalFormatting>
  <conditionalFormatting sqref="AF433">
    <cfRule type="expression" dxfId="0" priority="1993">
      <formula>AND($B433&lt;&gt;"",ISBLANK(AF433))</formula>
    </cfRule>
  </conditionalFormatting>
  <conditionalFormatting sqref="AA435">
    <cfRule type="expression" dxfId="0" priority="1985">
      <formula>AND($B435&lt;&gt;"",ISBLANK(AA435))</formula>
    </cfRule>
  </conditionalFormatting>
  <conditionalFormatting sqref="AB435">
    <cfRule type="expression" dxfId="0" priority="1984">
      <formula>AND($B435&lt;&gt;"",ISBLANK(AB435))</formula>
    </cfRule>
  </conditionalFormatting>
  <conditionalFormatting sqref="AC435">
    <cfRule type="expression" dxfId="0" priority="1987">
      <formula>AND($B435&lt;&gt;"",ISBLANK(AC435))</formula>
    </cfRule>
  </conditionalFormatting>
  <conditionalFormatting sqref="AD435">
    <cfRule type="expression" dxfId="0" priority="1986">
      <formula>AND($B435&lt;&gt;"",ISBLANK(AD435))</formula>
    </cfRule>
  </conditionalFormatting>
  <conditionalFormatting sqref="AE435">
    <cfRule type="expression" dxfId="0" priority="1988">
      <formula>AND($B435&lt;&gt;"",ISBLANK(AE435))</formula>
    </cfRule>
  </conditionalFormatting>
  <conditionalFormatting sqref="AF435">
    <cfRule type="expression" dxfId="0" priority="1989">
      <formula>AND($B435&lt;&gt;"",ISBLANK(AF435))</formula>
    </cfRule>
  </conditionalFormatting>
  <conditionalFormatting sqref="AA436">
    <cfRule type="expression" dxfId="0" priority="1979">
      <formula>AND($B436&lt;&gt;"",ISBLANK(AA436))</formula>
    </cfRule>
  </conditionalFormatting>
  <conditionalFormatting sqref="AB436">
    <cfRule type="expression" dxfId="0" priority="1978">
      <formula>AND($B436&lt;&gt;"",ISBLANK(AB436))</formula>
    </cfRule>
  </conditionalFormatting>
  <conditionalFormatting sqref="AC436">
    <cfRule type="expression" dxfId="0" priority="1981">
      <formula>AND($B436&lt;&gt;"",ISBLANK(AC436))</formula>
    </cfRule>
  </conditionalFormatting>
  <conditionalFormatting sqref="AD436">
    <cfRule type="expression" dxfId="0" priority="1980">
      <formula>AND($B436&lt;&gt;"",ISBLANK(AD436))</formula>
    </cfRule>
  </conditionalFormatting>
  <conditionalFormatting sqref="AE436">
    <cfRule type="expression" dxfId="0" priority="1982">
      <formula>AND($B436&lt;&gt;"",ISBLANK(AE436))</formula>
    </cfRule>
  </conditionalFormatting>
  <conditionalFormatting sqref="AF436">
    <cfRule type="expression" dxfId="0" priority="1983">
      <formula>AND($B436&lt;&gt;"",ISBLANK(AF436))</formula>
    </cfRule>
  </conditionalFormatting>
  <conditionalFormatting sqref="C437">
    <cfRule type="expression" dxfId="0" priority="1968">
      <formula>AND($B437&lt;&gt;"",ISBLANK(C437))</formula>
    </cfRule>
  </conditionalFormatting>
  <conditionalFormatting sqref="D437">
    <cfRule type="expression" dxfId="0" priority="1969">
      <formula>AND($B437&lt;&gt;"",ISBLANK(D437))</formula>
    </cfRule>
  </conditionalFormatting>
  <conditionalFormatting sqref="G437">
    <cfRule type="expression" dxfId="0" priority="285">
      <formula>AND($B437&lt;&gt;"",ISBLANK(G437))</formula>
    </cfRule>
  </conditionalFormatting>
  <conditionalFormatting sqref="H437">
    <cfRule type="expression" dxfId="0" priority="1966">
      <formula>AND($B437&lt;&gt;"",ISBLANK(H437))</formula>
    </cfRule>
  </conditionalFormatting>
  <conditionalFormatting sqref="I437">
    <cfRule type="expression" dxfId="0" priority="1967">
      <formula>AND($B437&lt;&gt;"",ISBLANK(I437))</formula>
    </cfRule>
  </conditionalFormatting>
  <conditionalFormatting sqref="O437">
    <cfRule type="expression" dxfId="0" priority="169">
      <formula>AND($B437&lt;&gt;"",ISBLANK(O437))</formula>
    </cfRule>
  </conditionalFormatting>
  <conditionalFormatting sqref="W437">
    <cfRule type="expression" dxfId="0" priority="1964">
      <formula>AND($B437&lt;&gt;"",ISBLANK(W437))</formula>
    </cfRule>
  </conditionalFormatting>
  <conditionalFormatting sqref="X437">
    <cfRule type="expression" dxfId="0" priority="1965">
      <formula>AND($B437&lt;&gt;"",ISBLANK(X437))</formula>
    </cfRule>
  </conditionalFormatting>
  <conditionalFormatting sqref="Y437">
    <cfRule type="expression" dxfId="0" priority="1963">
      <formula>AND($B437&lt;&gt;"",ISBLANK(Y437))</formula>
    </cfRule>
  </conditionalFormatting>
  <conditionalFormatting sqref="Z437">
    <cfRule type="expression" dxfId="0" priority="155">
      <formula>AND($B437&lt;&gt;"",ISBLANK(Z437))</formula>
    </cfRule>
  </conditionalFormatting>
  <conditionalFormatting sqref="AA437">
    <cfRule type="expression" dxfId="0" priority="1958">
      <formula>AND($B437&lt;&gt;"",ISBLANK(AA437))</formula>
    </cfRule>
  </conditionalFormatting>
  <conditionalFormatting sqref="AB437">
    <cfRule type="expression" dxfId="0" priority="1957">
      <formula>AND($B437&lt;&gt;"",ISBLANK(AB437))</formula>
    </cfRule>
  </conditionalFormatting>
  <conditionalFormatting sqref="AC437">
    <cfRule type="expression" dxfId="0" priority="1960">
      <formula>AND($B437&lt;&gt;"",ISBLANK(AC437))</formula>
    </cfRule>
  </conditionalFormatting>
  <conditionalFormatting sqref="AD437">
    <cfRule type="expression" dxfId="0" priority="1959">
      <formula>AND($B437&lt;&gt;"",ISBLANK(AD437))</formula>
    </cfRule>
  </conditionalFormatting>
  <conditionalFormatting sqref="AE437">
    <cfRule type="expression" dxfId="0" priority="1961">
      <formula>AND($B437&lt;&gt;"",ISBLANK(AE437))</formula>
    </cfRule>
  </conditionalFormatting>
  <conditionalFormatting sqref="AF437">
    <cfRule type="expression" dxfId="0" priority="1962">
      <formula>AND($B437&lt;&gt;"",ISBLANK(AF437))</formula>
    </cfRule>
  </conditionalFormatting>
  <conditionalFormatting sqref="O441">
    <cfRule type="expression" dxfId="0" priority="167">
      <formula>AND($B441&lt;&gt;"",ISBLANK(O441))</formula>
    </cfRule>
  </conditionalFormatting>
  <conditionalFormatting sqref="Z441">
    <cfRule type="expression" dxfId="0" priority="153">
      <formula>AND($B441&lt;&gt;"",ISBLANK(Z441))</formula>
    </cfRule>
  </conditionalFormatting>
  <conditionalFormatting sqref="O446">
    <cfRule type="expression" dxfId="0" priority="165">
      <formula>AND($B446&lt;&gt;"",ISBLANK(O446))</formula>
    </cfRule>
  </conditionalFormatting>
  <conditionalFormatting sqref="Z446">
    <cfRule type="expression" dxfId="0" priority="151">
      <formula>AND($B446&lt;&gt;"",ISBLANK(Z446))</formula>
    </cfRule>
  </conditionalFormatting>
  <conditionalFormatting sqref="O450">
    <cfRule type="expression" dxfId="0" priority="163">
      <formula>AND($B450&lt;&gt;"",ISBLANK(O450))</formula>
    </cfRule>
  </conditionalFormatting>
  <conditionalFormatting sqref="Z450">
    <cfRule type="expression" dxfId="0" priority="149">
      <formula>AND($B450&lt;&gt;"",ISBLANK(Z450))</formula>
    </cfRule>
  </conditionalFormatting>
  <conditionalFormatting sqref="O455">
    <cfRule type="expression" dxfId="0" priority="161">
      <formula>AND($B455&lt;&gt;"",ISBLANK(O455))</formula>
    </cfRule>
  </conditionalFormatting>
  <conditionalFormatting sqref="Z455">
    <cfRule type="expression" dxfId="0" priority="147">
      <formula>AND($B455&lt;&gt;"",ISBLANK(Z455))</formula>
    </cfRule>
  </conditionalFormatting>
  <conditionalFormatting sqref="O459">
    <cfRule type="expression" dxfId="0" priority="159">
      <formula>AND($B459&lt;&gt;"",ISBLANK(O459))</formula>
    </cfRule>
  </conditionalFormatting>
  <conditionalFormatting sqref="Z459">
    <cfRule type="expression" dxfId="0" priority="145">
      <formula>AND($B459&lt;&gt;"",ISBLANK(Z459))</formula>
    </cfRule>
  </conditionalFormatting>
  <conditionalFormatting sqref="O464">
    <cfRule type="expression" dxfId="0" priority="157">
      <formula>AND($B464&lt;&gt;"",ISBLANK(O464))</formula>
    </cfRule>
  </conditionalFormatting>
  <conditionalFormatting sqref="Z464">
    <cfRule type="expression" dxfId="0" priority="143">
      <formula>AND($B464&lt;&gt;"",ISBLANK(Z464))</formula>
    </cfRule>
  </conditionalFormatting>
  <conditionalFormatting sqref="G467">
    <cfRule type="expression" dxfId="0" priority="284">
      <formula>AND($B469&lt;&gt;"",ISBLANK(G467))</formula>
    </cfRule>
  </conditionalFormatting>
  <conditionalFormatting sqref="H467">
    <cfRule type="expression" dxfId="0" priority="1942">
      <formula>AND($B469&lt;&gt;"",ISBLANK(H467))</formula>
    </cfRule>
  </conditionalFormatting>
  <conditionalFormatting sqref="I467">
    <cfRule type="expression" dxfId="0" priority="1875">
      <formula>AND($B469&lt;&gt;"",ISBLANK(I467))</formula>
    </cfRule>
  </conditionalFormatting>
  <conditionalFormatting sqref="G468">
    <cfRule type="expression" dxfId="0" priority="283">
      <formula>AND($B470&lt;&gt;"",ISBLANK(G468))</formula>
    </cfRule>
  </conditionalFormatting>
  <conditionalFormatting sqref="H468">
    <cfRule type="expression" dxfId="0" priority="1941">
      <formula>AND($B470&lt;&gt;"",ISBLANK(H468))</formula>
    </cfRule>
  </conditionalFormatting>
  <conditionalFormatting sqref="I468">
    <cfRule type="expression" dxfId="0" priority="1874">
      <formula>AND($B470&lt;&gt;"",ISBLANK(I468))</formula>
    </cfRule>
  </conditionalFormatting>
  <conditionalFormatting sqref="G469">
    <cfRule type="expression" dxfId="0" priority="282">
      <formula>AND($B471&lt;&gt;"",ISBLANK(G469))</formula>
    </cfRule>
  </conditionalFormatting>
  <conditionalFormatting sqref="H469">
    <cfRule type="expression" dxfId="0" priority="1940">
      <formula>AND($B471&lt;&gt;"",ISBLANK(H469))</formula>
    </cfRule>
  </conditionalFormatting>
  <conditionalFormatting sqref="I469">
    <cfRule type="expression" dxfId="0" priority="1873">
      <formula>AND($B471&lt;&gt;"",ISBLANK(I469))</formula>
    </cfRule>
  </conditionalFormatting>
  <conditionalFormatting sqref="G470">
    <cfRule type="expression" dxfId="0" priority="281">
      <formula>AND($B472&lt;&gt;"",ISBLANK(G470))</formula>
    </cfRule>
  </conditionalFormatting>
  <conditionalFormatting sqref="H470">
    <cfRule type="expression" dxfId="0" priority="1935">
      <formula>AND($B472&lt;&gt;"",ISBLANK(H470))</formula>
    </cfRule>
  </conditionalFormatting>
  <conditionalFormatting sqref="I470">
    <cfRule type="expression" dxfId="0" priority="1872">
      <formula>AND($B472&lt;&gt;"",ISBLANK(I470))</formula>
    </cfRule>
  </conditionalFormatting>
  <conditionalFormatting sqref="G471">
    <cfRule type="expression" dxfId="0" priority="280">
      <formula>AND($B473&lt;&gt;"",ISBLANK(G471))</formula>
    </cfRule>
  </conditionalFormatting>
  <conditionalFormatting sqref="H471">
    <cfRule type="expression" dxfId="0" priority="1934">
      <formula>AND($B473&lt;&gt;"",ISBLANK(H471))</formula>
    </cfRule>
  </conditionalFormatting>
  <conditionalFormatting sqref="I471">
    <cfRule type="expression" dxfId="0" priority="1871">
      <formula>AND($B473&lt;&gt;"",ISBLANK(I471))</formula>
    </cfRule>
  </conditionalFormatting>
  <conditionalFormatting sqref="G472">
    <cfRule type="expression" dxfId="0" priority="279">
      <formula>AND($B474&lt;&gt;"",ISBLANK(G472))</formula>
    </cfRule>
  </conditionalFormatting>
  <conditionalFormatting sqref="H472">
    <cfRule type="expression" dxfId="0" priority="1933">
      <formula>AND($B474&lt;&gt;"",ISBLANK(H472))</formula>
    </cfRule>
  </conditionalFormatting>
  <conditionalFormatting sqref="I472">
    <cfRule type="expression" dxfId="0" priority="1870">
      <formula>AND($B474&lt;&gt;"",ISBLANK(I472))</formula>
    </cfRule>
  </conditionalFormatting>
  <conditionalFormatting sqref="G473">
    <cfRule type="expression" dxfId="0" priority="278">
      <formula>AND($B475&lt;&gt;"",ISBLANK(G473))</formula>
    </cfRule>
  </conditionalFormatting>
  <conditionalFormatting sqref="H473">
    <cfRule type="expression" dxfId="0" priority="1932">
      <formula>AND($B475&lt;&gt;"",ISBLANK(H473))</formula>
    </cfRule>
  </conditionalFormatting>
  <conditionalFormatting sqref="I473">
    <cfRule type="expression" dxfId="0" priority="1869">
      <formula>AND($B475&lt;&gt;"",ISBLANK(I473))</formula>
    </cfRule>
  </conditionalFormatting>
  <conditionalFormatting sqref="G474">
    <cfRule type="expression" dxfId="0" priority="277">
      <formula>AND($B476&lt;&gt;"",ISBLANK(G474))</formula>
    </cfRule>
  </conditionalFormatting>
  <conditionalFormatting sqref="H474">
    <cfRule type="expression" dxfId="0" priority="1931">
      <formula>AND($B476&lt;&gt;"",ISBLANK(H474))</formula>
    </cfRule>
  </conditionalFormatting>
  <conditionalFormatting sqref="I474">
    <cfRule type="expression" dxfId="0" priority="1868">
      <formula>AND($B476&lt;&gt;"",ISBLANK(I474))</formula>
    </cfRule>
  </conditionalFormatting>
  <conditionalFormatting sqref="G475">
    <cfRule type="expression" dxfId="0" priority="276">
      <formula>AND($B477&lt;&gt;"",ISBLANK(G475))</formula>
    </cfRule>
  </conditionalFormatting>
  <conditionalFormatting sqref="H475">
    <cfRule type="expression" dxfId="0" priority="1930">
      <formula>AND($B477&lt;&gt;"",ISBLANK(H475))</formula>
    </cfRule>
  </conditionalFormatting>
  <conditionalFormatting sqref="I475">
    <cfRule type="expression" dxfId="0" priority="1867">
      <formula>AND($B477&lt;&gt;"",ISBLANK(I475))</formula>
    </cfRule>
  </conditionalFormatting>
  <conditionalFormatting sqref="G476">
    <cfRule type="expression" dxfId="0" priority="275">
      <formula>AND($B478&lt;&gt;"",ISBLANK(G476))</formula>
    </cfRule>
  </conditionalFormatting>
  <conditionalFormatting sqref="H476">
    <cfRule type="expression" dxfId="0" priority="1929">
      <formula>AND($B478&lt;&gt;"",ISBLANK(H476))</formula>
    </cfRule>
  </conditionalFormatting>
  <conditionalFormatting sqref="I476">
    <cfRule type="expression" dxfId="0" priority="1866">
      <formula>AND($B478&lt;&gt;"",ISBLANK(I476))</formula>
    </cfRule>
  </conditionalFormatting>
  <conditionalFormatting sqref="G477">
    <cfRule type="expression" dxfId="0" priority="274">
      <formula>AND($B479&lt;&gt;"",ISBLANK(G477))</formula>
    </cfRule>
  </conditionalFormatting>
  <conditionalFormatting sqref="H477">
    <cfRule type="expression" dxfId="0" priority="1928">
      <formula>AND($B479&lt;&gt;"",ISBLANK(H477))</formula>
    </cfRule>
  </conditionalFormatting>
  <conditionalFormatting sqref="I477">
    <cfRule type="expression" dxfId="0" priority="1865">
      <formula>AND($B479&lt;&gt;"",ISBLANK(I477))</formula>
    </cfRule>
  </conditionalFormatting>
  <conditionalFormatting sqref="G478">
    <cfRule type="expression" dxfId="0" priority="273">
      <formula>AND($B480&lt;&gt;"",ISBLANK(G478))</formula>
    </cfRule>
  </conditionalFormatting>
  <conditionalFormatting sqref="H478">
    <cfRule type="expression" dxfId="0" priority="1927">
      <formula>AND($B480&lt;&gt;"",ISBLANK(H478))</formula>
    </cfRule>
  </conditionalFormatting>
  <conditionalFormatting sqref="G479">
    <cfRule type="expression" dxfId="0" priority="272">
      <formula>AND($B481&lt;&gt;"",ISBLANK(G479))</formula>
    </cfRule>
  </conditionalFormatting>
  <conditionalFormatting sqref="H479">
    <cfRule type="expression" dxfId="0" priority="1926">
      <formula>AND($B481&lt;&gt;"",ISBLANK(H479))</formula>
    </cfRule>
  </conditionalFormatting>
  <conditionalFormatting sqref="I479">
    <cfRule type="expression" dxfId="0" priority="1864">
      <formula>AND($B481&lt;&gt;"",ISBLANK(I479))</formula>
    </cfRule>
  </conditionalFormatting>
  <conditionalFormatting sqref="G480">
    <cfRule type="expression" dxfId="0" priority="271">
      <formula>AND($B482&lt;&gt;"",ISBLANK(G480))</formula>
    </cfRule>
  </conditionalFormatting>
  <conditionalFormatting sqref="H480">
    <cfRule type="expression" dxfId="0" priority="1925">
      <formula>AND($B482&lt;&gt;"",ISBLANK(H480))</formula>
    </cfRule>
  </conditionalFormatting>
  <conditionalFormatting sqref="I480">
    <cfRule type="expression" dxfId="0" priority="1863">
      <formula>AND($B482&lt;&gt;"",ISBLANK(I480))</formula>
    </cfRule>
  </conditionalFormatting>
  <conditionalFormatting sqref="G481">
    <cfRule type="expression" dxfId="0" priority="270">
      <formula>AND($B483&lt;&gt;"",ISBLANK(G481))</formula>
    </cfRule>
  </conditionalFormatting>
  <conditionalFormatting sqref="H481">
    <cfRule type="expression" dxfId="0" priority="1924">
      <formula>AND($B483&lt;&gt;"",ISBLANK(H481))</formula>
    </cfRule>
  </conditionalFormatting>
  <conditionalFormatting sqref="I481">
    <cfRule type="expression" dxfId="0" priority="1862">
      <formula>AND($B483&lt;&gt;"",ISBLANK(I481))</formula>
    </cfRule>
  </conditionalFormatting>
  <conditionalFormatting sqref="G482">
    <cfRule type="expression" dxfId="0" priority="269">
      <formula>AND($B484&lt;&gt;"",ISBLANK(G482))</formula>
    </cfRule>
  </conditionalFormatting>
  <conditionalFormatting sqref="H482">
    <cfRule type="expression" dxfId="0" priority="1923">
      <formula>AND($B484&lt;&gt;"",ISBLANK(H482))</formula>
    </cfRule>
  </conditionalFormatting>
  <conditionalFormatting sqref="I482">
    <cfRule type="expression" dxfId="0" priority="1861">
      <formula>AND($B484&lt;&gt;"",ISBLANK(I482))</formula>
    </cfRule>
  </conditionalFormatting>
  <conditionalFormatting sqref="G483">
    <cfRule type="expression" dxfId="0" priority="268">
      <formula>AND($B485&lt;&gt;"",ISBLANK(G483))</formula>
    </cfRule>
  </conditionalFormatting>
  <conditionalFormatting sqref="H483">
    <cfRule type="expression" dxfId="0" priority="1922">
      <formula>AND($B485&lt;&gt;"",ISBLANK(H483))</formula>
    </cfRule>
  </conditionalFormatting>
  <conditionalFormatting sqref="I483">
    <cfRule type="expression" dxfId="0" priority="1860">
      <formula>AND($B485&lt;&gt;"",ISBLANK(I483))</formula>
    </cfRule>
  </conditionalFormatting>
  <conditionalFormatting sqref="G484">
    <cfRule type="expression" dxfId="0" priority="267">
      <formula>AND($B486&lt;&gt;"",ISBLANK(G484))</formula>
    </cfRule>
  </conditionalFormatting>
  <conditionalFormatting sqref="H484">
    <cfRule type="expression" dxfId="0" priority="1921">
      <formula>AND($B486&lt;&gt;"",ISBLANK(H484))</formula>
    </cfRule>
  </conditionalFormatting>
  <conditionalFormatting sqref="I484">
    <cfRule type="expression" dxfId="0" priority="1859">
      <formula>AND($B486&lt;&gt;"",ISBLANK(I484))</formula>
    </cfRule>
  </conditionalFormatting>
  <conditionalFormatting sqref="G485">
    <cfRule type="expression" dxfId="0" priority="266">
      <formula>AND($B487&lt;&gt;"",ISBLANK(G485))</formula>
    </cfRule>
  </conditionalFormatting>
  <conditionalFormatting sqref="H485">
    <cfRule type="expression" dxfId="0" priority="1920">
      <formula>AND($B487&lt;&gt;"",ISBLANK(H485))</formula>
    </cfRule>
  </conditionalFormatting>
  <conditionalFormatting sqref="I485">
    <cfRule type="expression" dxfId="0" priority="1858">
      <formula>AND($B487&lt;&gt;"",ISBLANK(I485))</formula>
    </cfRule>
  </conditionalFormatting>
  <conditionalFormatting sqref="G486">
    <cfRule type="expression" dxfId="0" priority="265">
      <formula>AND($B488&lt;&gt;"",ISBLANK(G486))</formula>
    </cfRule>
  </conditionalFormatting>
  <conditionalFormatting sqref="H486">
    <cfRule type="expression" dxfId="0" priority="1919">
      <formula>AND($B488&lt;&gt;"",ISBLANK(H486))</formula>
    </cfRule>
  </conditionalFormatting>
  <conditionalFormatting sqref="I486">
    <cfRule type="expression" dxfId="0" priority="1854">
      <formula>AND($B488&lt;&gt;"",ISBLANK(I486))</formula>
    </cfRule>
  </conditionalFormatting>
  <conditionalFormatting sqref="G487">
    <cfRule type="expression" dxfId="0" priority="264">
      <formula>AND($B489&lt;&gt;"",ISBLANK(G487))</formula>
    </cfRule>
  </conditionalFormatting>
  <conditionalFormatting sqref="H487">
    <cfRule type="expression" dxfId="0" priority="1918">
      <formula>AND($B489&lt;&gt;"",ISBLANK(H487))</formula>
    </cfRule>
  </conditionalFormatting>
  <conditionalFormatting sqref="G488">
    <cfRule type="expression" dxfId="0" priority="263">
      <formula>AND($B490&lt;&gt;"",ISBLANK(G488))</formula>
    </cfRule>
  </conditionalFormatting>
  <conditionalFormatting sqref="H488">
    <cfRule type="expression" dxfId="0" priority="1917">
      <formula>AND($B490&lt;&gt;"",ISBLANK(H488))</formula>
    </cfRule>
  </conditionalFormatting>
  <conditionalFormatting sqref="I488">
    <cfRule type="expression" dxfId="0" priority="1879">
      <formula>AND($B490&lt;&gt;"",ISBLANK(I488))</formula>
    </cfRule>
  </conditionalFormatting>
  <conditionalFormatting sqref="G489">
    <cfRule type="expression" dxfId="0" priority="262">
      <formula>AND($B491&lt;&gt;"",ISBLANK(G489))</formula>
    </cfRule>
  </conditionalFormatting>
  <conditionalFormatting sqref="H489">
    <cfRule type="expression" dxfId="0" priority="1916">
      <formula>AND($B491&lt;&gt;"",ISBLANK(H489))</formula>
    </cfRule>
  </conditionalFormatting>
  <conditionalFormatting sqref="I489">
    <cfRule type="expression" dxfId="0" priority="1880">
      <formula>AND($B491&lt;&gt;"",ISBLANK(I489))</formula>
    </cfRule>
  </conditionalFormatting>
  <conditionalFormatting sqref="G490">
    <cfRule type="expression" dxfId="0" priority="261">
      <formula>AND($B492&lt;&gt;"",ISBLANK(G490))</formula>
    </cfRule>
  </conditionalFormatting>
  <conditionalFormatting sqref="H490">
    <cfRule type="expression" dxfId="0" priority="1915">
      <formula>AND($B492&lt;&gt;"",ISBLANK(H490))</formula>
    </cfRule>
  </conditionalFormatting>
  <conditionalFormatting sqref="I490">
    <cfRule type="expression" dxfId="0" priority="1881">
      <formula>AND($B492&lt;&gt;"",ISBLANK(I490))</formula>
    </cfRule>
  </conditionalFormatting>
  <conditionalFormatting sqref="G491">
    <cfRule type="expression" dxfId="0" priority="260">
      <formula>AND($B493&lt;&gt;"",ISBLANK(G491))</formula>
    </cfRule>
  </conditionalFormatting>
  <conditionalFormatting sqref="H491">
    <cfRule type="expression" dxfId="0" priority="1914">
      <formula>AND($B493&lt;&gt;"",ISBLANK(H491))</formula>
    </cfRule>
  </conditionalFormatting>
  <conditionalFormatting sqref="I491">
    <cfRule type="expression" dxfId="0" priority="1882">
      <formula>AND($B493&lt;&gt;"",ISBLANK(I491))</formula>
    </cfRule>
  </conditionalFormatting>
  <conditionalFormatting sqref="G492">
    <cfRule type="expression" dxfId="0" priority="259">
      <formula>AND($B494&lt;&gt;"",ISBLANK(G492))</formula>
    </cfRule>
  </conditionalFormatting>
  <conditionalFormatting sqref="H492">
    <cfRule type="expression" dxfId="0" priority="1913">
      <formula>AND($B494&lt;&gt;"",ISBLANK(H492))</formula>
    </cfRule>
  </conditionalFormatting>
  <conditionalFormatting sqref="I492">
    <cfRule type="expression" dxfId="0" priority="1883">
      <formula>AND($B494&lt;&gt;"",ISBLANK(I492))</formula>
    </cfRule>
  </conditionalFormatting>
  <conditionalFormatting sqref="G493">
    <cfRule type="expression" dxfId="0" priority="258">
      <formula>AND($B495&lt;&gt;"",ISBLANK(G493))</formula>
    </cfRule>
  </conditionalFormatting>
  <conditionalFormatting sqref="H493">
    <cfRule type="expression" dxfId="0" priority="1912">
      <formula>AND($B495&lt;&gt;"",ISBLANK(H493))</formula>
    </cfRule>
  </conditionalFormatting>
  <conditionalFormatting sqref="I493">
    <cfRule type="expression" dxfId="0" priority="1884">
      <formula>AND($B495&lt;&gt;"",ISBLANK(I493))</formula>
    </cfRule>
  </conditionalFormatting>
  <conditionalFormatting sqref="G494">
    <cfRule type="expression" dxfId="0" priority="257">
      <formula>AND($B496&lt;&gt;"",ISBLANK(G494))</formula>
    </cfRule>
  </conditionalFormatting>
  <conditionalFormatting sqref="H494">
    <cfRule type="expression" dxfId="0" priority="1911">
      <formula>AND($B496&lt;&gt;"",ISBLANK(H494))</formula>
    </cfRule>
  </conditionalFormatting>
  <conditionalFormatting sqref="I494">
    <cfRule type="expression" dxfId="0" priority="1885">
      <formula>AND($B496&lt;&gt;"",ISBLANK(I494))</formula>
    </cfRule>
  </conditionalFormatting>
  <conditionalFormatting sqref="G495">
    <cfRule type="expression" dxfId="0" priority="256">
      <formula>AND($B497&lt;&gt;"",ISBLANK(G495))</formula>
    </cfRule>
  </conditionalFormatting>
  <conditionalFormatting sqref="H495">
    <cfRule type="expression" dxfId="0" priority="1910">
      <formula>AND($B497&lt;&gt;"",ISBLANK(H495))</formula>
    </cfRule>
  </conditionalFormatting>
  <conditionalFormatting sqref="I495">
    <cfRule type="expression" dxfId="0" priority="1886">
      <formula>AND($B497&lt;&gt;"",ISBLANK(I495))</formula>
    </cfRule>
  </conditionalFormatting>
  <conditionalFormatting sqref="G496">
    <cfRule type="expression" dxfId="0" priority="255">
      <formula>AND($B498&lt;&gt;"",ISBLANK(G496))</formula>
    </cfRule>
  </conditionalFormatting>
  <conditionalFormatting sqref="H496">
    <cfRule type="expression" dxfId="0" priority="1909">
      <formula>AND($B498&lt;&gt;"",ISBLANK(H496))</formula>
    </cfRule>
  </conditionalFormatting>
  <conditionalFormatting sqref="G497">
    <cfRule type="expression" dxfId="0" priority="254">
      <formula>AND($B499&lt;&gt;"",ISBLANK(G497))</formula>
    </cfRule>
  </conditionalFormatting>
  <conditionalFormatting sqref="H497">
    <cfRule type="expression" dxfId="0" priority="1908">
      <formula>AND($B499&lt;&gt;"",ISBLANK(H497))</formula>
    </cfRule>
  </conditionalFormatting>
  <conditionalFormatting sqref="I497">
    <cfRule type="expression" dxfId="0" priority="1887">
      <formula>AND($B499&lt;&gt;"",ISBLANK(I497))</formula>
    </cfRule>
  </conditionalFormatting>
  <conditionalFormatting sqref="G498">
    <cfRule type="expression" dxfId="0" priority="253">
      <formula>AND($B500&lt;&gt;"",ISBLANK(G498))</formula>
    </cfRule>
  </conditionalFormatting>
  <conditionalFormatting sqref="H498">
    <cfRule type="expression" dxfId="0" priority="1907">
      <formula>AND($B500&lt;&gt;"",ISBLANK(H498))</formula>
    </cfRule>
  </conditionalFormatting>
  <conditionalFormatting sqref="I498">
    <cfRule type="expression" dxfId="0" priority="1888">
      <formula>AND($B500&lt;&gt;"",ISBLANK(I498))</formula>
    </cfRule>
  </conditionalFormatting>
  <conditionalFormatting sqref="G499">
    <cfRule type="expression" dxfId="0" priority="252">
      <formula>AND($B501&lt;&gt;"",ISBLANK(G499))</formula>
    </cfRule>
  </conditionalFormatting>
  <conditionalFormatting sqref="H499">
    <cfRule type="expression" dxfId="0" priority="1906">
      <formula>AND($B501&lt;&gt;"",ISBLANK(H499))</formula>
    </cfRule>
  </conditionalFormatting>
  <conditionalFormatting sqref="G500">
    <cfRule type="expression" dxfId="0" priority="251">
      <formula>AND($B502&lt;&gt;"",ISBLANK(G500))</formula>
    </cfRule>
  </conditionalFormatting>
  <conditionalFormatting sqref="H500">
    <cfRule type="expression" dxfId="0" priority="1905">
      <formula>AND($B502&lt;&gt;"",ISBLANK(H500))</formula>
    </cfRule>
  </conditionalFormatting>
  <conditionalFormatting sqref="I500">
    <cfRule type="expression" dxfId="0" priority="1889">
      <formula>AND($B502&lt;&gt;"",ISBLANK(I500))</formula>
    </cfRule>
  </conditionalFormatting>
  <conditionalFormatting sqref="G501">
    <cfRule type="expression" dxfId="0" priority="250">
      <formula>AND($B503&lt;&gt;"",ISBLANK(G501))</formula>
    </cfRule>
  </conditionalFormatting>
  <conditionalFormatting sqref="H501">
    <cfRule type="expression" dxfId="0" priority="1904">
      <formula>AND($B503&lt;&gt;"",ISBLANK(H501))</formula>
    </cfRule>
  </conditionalFormatting>
  <conditionalFormatting sqref="I501">
    <cfRule type="expression" dxfId="0" priority="1890">
      <formula>AND($B503&lt;&gt;"",ISBLANK(I501))</formula>
    </cfRule>
  </conditionalFormatting>
  <conditionalFormatting sqref="G502">
    <cfRule type="expression" dxfId="0" priority="249">
      <formula>AND($B504&lt;&gt;"",ISBLANK(G502))</formula>
    </cfRule>
  </conditionalFormatting>
  <conditionalFormatting sqref="H502">
    <cfRule type="expression" dxfId="0" priority="1903">
      <formula>AND($B504&lt;&gt;"",ISBLANK(H502))</formula>
    </cfRule>
  </conditionalFormatting>
  <conditionalFormatting sqref="I502">
    <cfRule type="expression" dxfId="0" priority="1891">
      <formula>AND($B504&lt;&gt;"",ISBLANK(I502))</formula>
    </cfRule>
  </conditionalFormatting>
  <conditionalFormatting sqref="G503">
    <cfRule type="expression" dxfId="0" priority="248">
      <formula>AND($B505&lt;&gt;"",ISBLANK(G503))</formula>
    </cfRule>
  </conditionalFormatting>
  <conditionalFormatting sqref="H503">
    <cfRule type="expression" dxfId="0" priority="1902">
      <formula>AND($B505&lt;&gt;"",ISBLANK(H503))</formula>
    </cfRule>
  </conditionalFormatting>
  <conditionalFormatting sqref="G504">
    <cfRule type="expression" dxfId="0" priority="247">
      <formula>AND($B506&lt;&gt;"",ISBLANK(G504))</formula>
    </cfRule>
  </conditionalFormatting>
  <conditionalFormatting sqref="H504">
    <cfRule type="expression" dxfId="0" priority="1901">
      <formula>AND($B506&lt;&gt;"",ISBLANK(H504))</formula>
    </cfRule>
  </conditionalFormatting>
  <conditionalFormatting sqref="I504">
    <cfRule type="expression" dxfId="0" priority="1894">
      <formula>AND($B506&lt;&gt;"",ISBLANK(I504))</formula>
    </cfRule>
  </conditionalFormatting>
  <conditionalFormatting sqref="G505">
    <cfRule type="expression" dxfId="0" priority="246">
      <formula>AND($B507&lt;&gt;"",ISBLANK(G505))</formula>
    </cfRule>
  </conditionalFormatting>
  <conditionalFormatting sqref="H505">
    <cfRule type="expression" dxfId="0" priority="1900">
      <formula>AND($B507&lt;&gt;"",ISBLANK(H505))</formula>
    </cfRule>
  </conditionalFormatting>
  <conditionalFormatting sqref="I505">
    <cfRule type="expression" dxfId="0" priority="1895">
      <formula>AND($B507&lt;&gt;"",ISBLANK(I505))</formula>
    </cfRule>
  </conditionalFormatting>
  <conditionalFormatting sqref="G506">
    <cfRule type="expression" dxfId="0" priority="245">
      <formula>AND($B508&lt;&gt;"",ISBLANK(G506))</formula>
    </cfRule>
  </conditionalFormatting>
  <conditionalFormatting sqref="H506">
    <cfRule type="expression" dxfId="0" priority="1899">
      <formula>AND($B508&lt;&gt;"",ISBLANK(H506))</formula>
    </cfRule>
  </conditionalFormatting>
  <conditionalFormatting sqref="I506">
    <cfRule type="expression" dxfId="0" priority="1896">
      <formula>AND($B508&lt;&gt;"",ISBLANK(I506))</formula>
    </cfRule>
  </conditionalFormatting>
  <conditionalFormatting sqref="G507">
    <cfRule type="expression" dxfId="0" priority="244">
      <formula>AND($B509&lt;&gt;"",ISBLANK(G507))</formula>
    </cfRule>
  </conditionalFormatting>
  <conditionalFormatting sqref="H507">
    <cfRule type="expression" dxfId="0" priority="1898">
      <formula>AND($B509&lt;&gt;"",ISBLANK(H507))</formula>
    </cfRule>
  </conditionalFormatting>
  <conditionalFormatting sqref="I507">
    <cfRule type="expression" dxfId="0" priority="1897">
      <formula>AND($B509&lt;&gt;"",ISBLANK(I507))</formula>
    </cfRule>
  </conditionalFormatting>
  <conditionalFormatting sqref="AD508">
    <cfRule type="expression" dxfId="0" priority="1508">
      <formula>AND($B508&lt;&gt;"",ISBLANK(AD508))</formula>
    </cfRule>
  </conditionalFormatting>
  <conditionalFormatting sqref="W509">
    <cfRule type="expression" dxfId="0" priority="1641">
      <formula>AND($B509&lt;&gt;"",ISBLANK(W509))</formula>
    </cfRule>
  </conditionalFormatting>
  <conditionalFormatting sqref="Y509">
    <cfRule type="expression" dxfId="0" priority="1640">
      <formula>AND($B509&lt;&gt;"",ISBLANK(Y509))</formula>
    </cfRule>
  </conditionalFormatting>
  <conditionalFormatting sqref="Y509:Z509">
    <cfRule type="expression" dxfId="0" priority="1639">
      <formula>AND($B509&lt;&gt;"",ISBLANK(Y509))</formula>
    </cfRule>
  </conditionalFormatting>
  <conditionalFormatting sqref="AD509">
    <cfRule type="expression" dxfId="0" priority="1510">
      <formula>AND($B509&lt;&gt;"",ISBLANK(AD509))</formula>
    </cfRule>
  </conditionalFormatting>
  <conditionalFormatting sqref="AF509">
    <cfRule type="expression" dxfId="0" priority="1509">
      <formula>AND($B509&lt;&gt;"",ISBLANK(AF509))</formula>
    </cfRule>
  </conditionalFormatting>
  <conditionalFormatting sqref="Y510">
    <cfRule type="expression" dxfId="0" priority="1736">
      <formula>AND($B510&lt;&gt;"",ISBLANK(Y510))</formula>
    </cfRule>
  </conditionalFormatting>
  <conditionalFormatting sqref="Z510">
    <cfRule type="expression" dxfId="0" priority="1735">
      <formula>AND($B510&lt;&gt;"",ISBLANK(Z510))</formula>
    </cfRule>
  </conditionalFormatting>
  <conditionalFormatting sqref="AD510">
    <cfRule type="expression" dxfId="0" priority="1595">
      <formula>AND($B510&lt;&gt;"",ISBLANK(AD510))</formula>
    </cfRule>
  </conditionalFormatting>
  <conditionalFormatting sqref="AF510">
    <cfRule type="expression" dxfId="0" priority="1594">
      <formula>AND($B510&lt;&gt;"",ISBLANK(AF510))</formula>
    </cfRule>
  </conditionalFormatting>
  <conditionalFormatting sqref="Y511">
    <cfRule type="expression" dxfId="0" priority="1734">
      <formula>AND($B511&lt;&gt;"",ISBLANK(Y511))</formula>
    </cfRule>
  </conditionalFormatting>
  <conditionalFormatting sqref="Z511">
    <cfRule type="expression" dxfId="0" priority="1733">
      <formula>AND($B511&lt;&gt;"",ISBLANK(Z511))</formula>
    </cfRule>
  </conditionalFormatting>
  <conditionalFormatting sqref="AC511">
    <cfRule type="expression" dxfId="0" priority="1630">
      <formula>AND($B511&lt;&gt;"",ISBLANK(AC511))</formula>
    </cfRule>
  </conditionalFormatting>
  <conditionalFormatting sqref="AD511">
    <cfRule type="expression" dxfId="0" priority="1592">
      <formula>AND($B511&lt;&gt;"",ISBLANK(AD511))</formula>
    </cfRule>
  </conditionalFormatting>
  <conditionalFormatting sqref="AE511">
    <cfRule type="expression" dxfId="0" priority="1629">
      <formula>AND($B511&lt;&gt;"",ISBLANK(AE511))</formula>
    </cfRule>
  </conditionalFormatting>
  <conditionalFormatting sqref="AF511">
    <cfRule type="expression" dxfId="0" priority="1593">
      <formula>AND($B511&lt;&gt;"",ISBLANK(AF511))</formula>
    </cfRule>
  </conditionalFormatting>
  <conditionalFormatting sqref="Y512">
    <cfRule type="expression" dxfId="0" priority="1732">
      <formula>AND($B512&lt;&gt;"",ISBLANK(Y512))</formula>
    </cfRule>
  </conditionalFormatting>
  <conditionalFormatting sqref="Z512">
    <cfRule type="expression" dxfId="0" priority="1731">
      <formula>AND($B512&lt;&gt;"",ISBLANK(Z512))</formula>
    </cfRule>
  </conditionalFormatting>
  <conditionalFormatting sqref="AC512">
    <cfRule type="expression" dxfId="0" priority="1628">
      <formula>AND($B512&lt;&gt;"",ISBLANK(AC512))</formula>
    </cfRule>
  </conditionalFormatting>
  <conditionalFormatting sqref="AE512">
    <cfRule type="expression" dxfId="0" priority="1627">
      <formula>AND($B512&lt;&gt;"",ISBLANK(AE512))</formula>
    </cfRule>
  </conditionalFormatting>
  <conditionalFormatting sqref="W513">
    <cfRule type="expression" dxfId="0" priority="1730">
      <formula>AND($B513&lt;&gt;"",ISBLANK(W513))</formula>
    </cfRule>
  </conditionalFormatting>
  <conditionalFormatting sqref="W513:X513">
    <cfRule type="expression" dxfId="0" priority="1729">
      <formula>AND($B513&lt;&gt;"",ISBLANK(W513))</formula>
    </cfRule>
  </conditionalFormatting>
  <conditionalFormatting sqref="W513:Y513">
    <cfRule type="expression" dxfId="0" priority="1728">
      <formula>AND($B513&lt;&gt;"",ISBLANK(W513))</formula>
    </cfRule>
  </conditionalFormatting>
  <conditionalFormatting sqref="W513:Z513">
    <cfRule type="expression" dxfId="0" priority="1727">
      <formula>AND($B513&lt;&gt;"",ISBLANK(W513))</formula>
    </cfRule>
  </conditionalFormatting>
  <conditionalFormatting sqref="AC513">
    <cfRule type="expression" dxfId="0" priority="1626">
      <formula>AND($B513&lt;&gt;"",ISBLANK(AC513))</formula>
    </cfRule>
  </conditionalFormatting>
  <conditionalFormatting sqref="W514">
    <cfRule type="expression" dxfId="0" priority="1726">
      <formula>AND($B514&lt;&gt;"",ISBLANK(W514))</formula>
    </cfRule>
  </conditionalFormatting>
  <conditionalFormatting sqref="W514:X514">
    <cfRule type="expression" dxfId="0" priority="1725">
      <formula>AND($B514&lt;&gt;"",ISBLANK(W514))</formula>
    </cfRule>
  </conditionalFormatting>
  <conditionalFormatting sqref="W514:Y514">
    <cfRule type="expression" dxfId="0" priority="1723">
      <formula>AND($B514&lt;&gt;"",ISBLANK(W514))</formula>
    </cfRule>
  </conditionalFormatting>
  <conditionalFormatting sqref="W514:Z514">
    <cfRule type="expression" dxfId="0" priority="1721">
      <formula>AND($B514&lt;&gt;"",ISBLANK(W514))</formula>
    </cfRule>
  </conditionalFormatting>
  <conditionalFormatting sqref="X514">
    <cfRule type="expression" dxfId="0" priority="1724">
      <formula>AND($B514&lt;&gt;"",ISBLANK(X514))</formula>
    </cfRule>
  </conditionalFormatting>
  <conditionalFormatting sqref="X514:Y514">
    <cfRule type="expression" dxfId="0" priority="1722">
      <formula>AND($B514&lt;&gt;"",ISBLANK(X514))</formula>
    </cfRule>
  </conditionalFormatting>
  <conditionalFormatting sqref="X514:Z514">
    <cfRule type="expression" dxfId="0" priority="1720">
      <formula>AND($B514&lt;&gt;"",ISBLANK(X514))</formula>
    </cfRule>
  </conditionalFormatting>
  <conditionalFormatting sqref="AC514">
    <cfRule type="expression" dxfId="0" priority="1624">
      <formula>AND($B514&lt;&gt;"",ISBLANK(AC514))</formula>
    </cfRule>
  </conditionalFormatting>
  <conditionalFormatting sqref="W515">
    <cfRule type="expression" dxfId="0" priority="1719">
      <formula>AND($B515&lt;&gt;"",ISBLANK(W515))</formula>
    </cfRule>
  </conditionalFormatting>
  <conditionalFormatting sqref="W515:X515">
    <cfRule type="expression" dxfId="0" priority="1718">
      <formula>AND($B515&lt;&gt;"",ISBLANK(W515))</formula>
    </cfRule>
  </conditionalFormatting>
  <conditionalFormatting sqref="W515:Y515">
    <cfRule type="expression" dxfId="0" priority="1716">
      <formula>AND($B515&lt;&gt;"",ISBLANK(W515))</formula>
    </cfRule>
  </conditionalFormatting>
  <conditionalFormatting sqref="W515:Z515">
    <cfRule type="expression" dxfId="0" priority="1714">
      <formula>AND($B515&lt;&gt;"",ISBLANK(W515))</formula>
    </cfRule>
  </conditionalFormatting>
  <conditionalFormatting sqref="X515">
    <cfRule type="expression" dxfId="0" priority="1717">
      <formula>AND($B515&lt;&gt;"",ISBLANK(X515))</formula>
    </cfRule>
  </conditionalFormatting>
  <conditionalFormatting sqref="X515:Y515">
    <cfRule type="expression" dxfId="0" priority="1715">
      <formula>AND($B515&lt;&gt;"",ISBLANK(X515))</formula>
    </cfRule>
  </conditionalFormatting>
  <conditionalFormatting sqref="X515:Z515">
    <cfRule type="expression" dxfId="0" priority="1713">
      <formula>AND($B515&lt;&gt;"",ISBLANK(X515))</formula>
    </cfRule>
  </conditionalFormatting>
  <conditionalFormatting sqref="AC515">
    <cfRule type="expression" dxfId="0" priority="1622">
      <formula>AND($B515&lt;&gt;"",ISBLANK(AC515))</formula>
    </cfRule>
  </conditionalFormatting>
  <conditionalFormatting sqref="W516">
    <cfRule type="expression" dxfId="0" priority="1712">
      <formula>AND($B516&lt;&gt;"",ISBLANK(W516))</formula>
    </cfRule>
  </conditionalFormatting>
  <conditionalFormatting sqref="W516:X516">
    <cfRule type="expression" dxfId="0" priority="1711">
      <formula>AND($B516&lt;&gt;"",ISBLANK(W516))</formula>
    </cfRule>
  </conditionalFormatting>
  <conditionalFormatting sqref="W516:Y516">
    <cfRule type="expression" dxfId="0" priority="1709">
      <formula>AND($B516&lt;&gt;"",ISBLANK(W516))</formula>
    </cfRule>
  </conditionalFormatting>
  <conditionalFormatting sqref="W516:Z516">
    <cfRule type="expression" dxfId="0" priority="1707">
      <formula>AND($B516&lt;&gt;"",ISBLANK(W516))</formula>
    </cfRule>
  </conditionalFormatting>
  <conditionalFormatting sqref="X516">
    <cfRule type="expression" dxfId="0" priority="1710">
      <formula>AND($B516&lt;&gt;"",ISBLANK(X516))</formula>
    </cfRule>
  </conditionalFormatting>
  <conditionalFormatting sqref="X516:Y516">
    <cfRule type="expression" dxfId="0" priority="1708">
      <formula>AND($B516&lt;&gt;"",ISBLANK(X516))</formula>
    </cfRule>
  </conditionalFormatting>
  <conditionalFormatting sqref="X516:Z516">
    <cfRule type="expression" dxfId="0" priority="1706">
      <formula>AND($B516&lt;&gt;"",ISBLANK(X516))</formula>
    </cfRule>
  </conditionalFormatting>
  <conditionalFormatting sqref="AC516">
    <cfRule type="expression" dxfId="0" priority="1620">
      <formula>AND($B516&lt;&gt;"",ISBLANK(AC516))</formula>
    </cfRule>
  </conditionalFormatting>
  <conditionalFormatting sqref="W517">
    <cfRule type="expression" dxfId="0" priority="1705">
      <formula>AND($B517&lt;&gt;"",ISBLANK(W517))</formula>
    </cfRule>
  </conditionalFormatting>
  <conditionalFormatting sqref="X517">
    <cfRule type="expression" dxfId="0" priority="1704">
      <formula>AND($B517&lt;&gt;"",ISBLANK(X517))</formula>
    </cfRule>
  </conditionalFormatting>
  <conditionalFormatting sqref="X517:Y517">
    <cfRule type="expression" dxfId="0" priority="1703">
      <formula>AND($B517&lt;&gt;"",ISBLANK(X517))</formula>
    </cfRule>
  </conditionalFormatting>
  <conditionalFormatting sqref="X517:Z517">
    <cfRule type="expression" dxfId="0" priority="1701">
      <formula>AND($B517&lt;&gt;"",ISBLANK(X517))</formula>
    </cfRule>
  </conditionalFormatting>
  <conditionalFormatting sqref="Y517">
    <cfRule type="expression" dxfId="0" priority="1702">
      <formula>AND($B517&lt;&gt;"",ISBLANK(Y517))</formula>
    </cfRule>
  </conditionalFormatting>
  <conditionalFormatting sqref="Y517:Z517">
    <cfRule type="expression" dxfId="0" priority="1700">
      <formula>AND($B517&lt;&gt;"",ISBLANK(Y517))</formula>
    </cfRule>
  </conditionalFormatting>
  <conditionalFormatting sqref="AC517">
    <cfRule type="expression" dxfId="0" priority="1618">
      <formula>AND($B517&lt;&gt;"",ISBLANK(AC517))</formula>
    </cfRule>
  </conditionalFormatting>
  <conditionalFormatting sqref="X519">
    <cfRule type="expression" dxfId="0" priority="1699">
      <formula>AND($B519&lt;&gt;"",ISBLANK(X519))</formula>
    </cfRule>
  </conditionalFormatting>
  <conditionalFormatting sqref="X519:Y519">
    <cfRule type="expression" dxfId="0" priority="1698">
      <formula>AND($B519&lt;&gt;"",ISBLANK(X519))</formula>
    </cfRule>
  </conditionalFormatting>
  <conditionalFormatting sqref="X519:Z519">
    <cfRule type="expression" dxfId="0" priority="1697">
      <formula>AND($B519&lt;&gt;"",ISBLANK(X519))</formula>
    </cfRule>
  </conditionalFormatting>
  <conditionalFormatting sqref="AC519">
    <cfRule type="expression" dxfId="0" priority="1616">
      <formula>AND($B519&lt;&gt;"",ISBLANK(AC519))</formula>
    </cfRule>
  </conditionalFormatting>
  <conditionalFormatting sqref="Y520">
    <cfRule type="expression" dxfId="0" priority="1696">
      <formula>AND($B520&lt;&gt;"",ISBLANK(Y520))</formula>
    </cfRule>
  </conditionalFormatting>
  <conditionalFormatting sqref="Y520:Z520">
    <cfRule type="expression" dxfId="0" priority="1695">
      <formula>AND($B520&lt;&gt;"",ISBLANK(Y520))</formula>
    </cfRule>
  </conditionalFormatting>
  <conditionalFormatting sqref="AC520">
    <cfRule type="expression" dxfId="0" priority="1614">
      <formula>AND($B520&lt;&gt;"",ISBLANK(AC520))</formula>
    </cfRule>
  </conditionalFormatting>
  <conditionalFormatting sqref="Y521">
    <cfRule type="expression" dxfId="0" priority="1694">
      <formula>AND($B521&lt;&gt;"",ISBLANK(Y521))</formula>
    </cfRule>
  </conditionalFormatting>
  <conditionalFormatting sqref="Y521:Z521">
    <cfRule type="expression" dxfId="0" priority="1693">
      <formula>AND($B521&lt;&gt;"",ISBLANK(Y521))</formula>
    </cfRule>
  </conditionalFormatting>
  <conditionalFormatting sqref="AC521">
    <cfRule type="expression" dxfId="0" priority="1612">
      <formula>AND($B521&lt;&gt;"",ISBLANK(AC521))</formula>
    </cfRule>
  </conditionalFormatting>
  <conditionalFormatting sqref="O522">
    <cfRule type="expression" dxfId="0" priority="1692">
      <formula>AND($B522&lt;&gt;"",ISBLANK(O522))</formula>
    </cfRule>
  </conditionalFormatting>
  <conditionalFormatting sqref="W522">
    <cfRule type="expression" dxfId="0" priority="1691">
      <formula>AND($B522&lt;&gt;"",ISBLANK(W522))</formula>
    </cfRule>
  </conditionalFormatting>
  <conditionalFormatting sqref="AC522">
    <cfRule type="expression" dxfId="0" priority="1610">
      <formula>AND($B522&lt;&gt;"",ISBLANK(AC522))</formula>
    </cfRule>
  </conditionalFormatting>
  <conditionalFormatting sqref="Y523">
    <cfRule type="expression" dxfId="0" priority="1686">
      <formula>AND($B523&lt;&gt;"",ISBLANK(Y523))</formula>
    </cfRule>
  </conditionalFormatting>
  <conditionalFormatting sqref="Y523:Z523">
    <cfRule type="expression" dxfId="0" priority="1685">
      <formula>AND($B523&lt;&gt;"",ISBLANK(Y523))</formula>
    </cfRule>
  </conditionalFormatting>
  <conditionalFormatting sqref="Z523">
    <cfRule type="expression" dxfId="0" priority="1684">
      <formula>AND($B523&lt;&gt;"",ISBLANK(Z523))</formula>
    </cfRule>
  </conditionalFormatting>
  <conditionalFormatting sqref="AC523">
    <cfRule type="expression" dxfId="0" priority="1606">
      <formula>AND($B523&lt;&gt;"",ISBLANK(AC523))</formula>
    </cfRule>
  </conditionalFormatting>
  <conditionalFormatting sqref="Y524">
    <cfRule type="expression" dxfId="0" priority="1683">
      <formula>AND($B524&lt;&gt;"",ISBLANK(Y524))</formula>
    </cfRule>
  </conditionalFormatting>
  <conditionalFormatting sqref="Y524:Z524">
    <cfRule type="expression" dxfId="0" priority="1682">
      <formula>AND($B524&lt;&gt;"",ISBLANK(Y524))</formula>
    </cfRule>
  </conditionalFormatting>
  <conditionalFormatting sqref="Z524">
    <cfRule type="expression" dxfId="0" priority="1681">
      <formula>AND($B524&lt;&gt;"",ISBLANK(Z524))</formula>
    </cfRule>
  </conditionalFormatting>
  <conditionalFormatting sqref="AC524">
    <cfRule type="expression" dxfId="0" priority="1604">
      <formula>AND($B524&lt;&gt;"",ISBLANK(AC524))</formula>
    </cfRule>
  </conditionalFormatting>
  <conditionalFormatting sqref="O525">
    <cfRule type="expression" dxfId="0" priority="1680">
      <formula>AND($B525&lt;&gt;"",ISBLANK(O525))</formula>
    </cfRule>
  </conditionalFormatting>
  <conditionalFormatting sqref="Y525">
    <cfRule type="expression" dxfId="0" priority="1679">
      <formula>AND($B525&lt;&gt;"",ISBLANK(Y525))</formula>
    </cfRule>
  </conditionalFormatting>
  <conditionalFormatting sqref="Y525:Z525">
    <cfRule type="expression" dxfId="0" priority="1678">
      <formula>AND($B525&lt;&gt;"",ISBLANK(Y525))</formula>
    </cfRule>
  </conditionalFormatting>
  <conditionalFormatting sqref="AC525">
    <cfRule type="expression" dxfId="0" priority="1602">
      <formula>AND($B525&lt;&gt;"",ISBLANK(AC525))</formula>
    </cfRule>
  </conditionalFormatting>
  <conditionalFormatting sqref="O526">
    <cfRule type="expression" dxfId="0" priority="1799">
      <formula>AND($B526&lt;&gt;"",ISBLANK(O526))</formula>
    </cfRule>
  </conditionalFormatting>
  <conditionalFormatting sqref="P526">
    <cfRule type="expression" dxfId="0" priority="1800">
      <formula>AND($B526&lt;&gt;"",ISBLANK(P526))</formula>
    </cfRule>
  </conditionalFormatting>
  <conditionalFormatting sqref="S526">
    <cfRule type="expression" dxfId="0" priority="1801">
      <formula>AND($B526&lt;&gt;"",ISBLANK(S526))</formula>
    </cfRule>
  </conditionalFormatting>
  <conditionalFormatting sqref="V526">
    <cfRule type="expression" dxfId="0" priority="1802">
      <formula>AND($B526&lt;&gt;"",ISBLANK(V526))</formula>
    </cfRule>
  </conditionalFormatting>
  <conditionalFormatting sqref="W526">
    <cfRule type="expression" dxfId="0" priority="1803">
      <formula>AND($B526&lt;&gt;"",ISBLANK(W526))</formula>
    </cfRule>
  </conditionalFormatting>
  <conditionalFormatting sqref="X526">
    <cfRule type="expression" dxfId="0" priority="1804">
      <formula>AND($B526&lt;&gt;"",ISBLANK(X526))</formula>
    </cfRule>
  </conditionalFormatting>
  <conditionalFormatting sqref="Y526">
    <cfRule type="expression" dxfId="0" priority="1677">
      <formula>AND($B526&lt;&gt;"",ISBLANK(Y526))</formula>
    </cfRule>
  </conditionalFormatting>
  <conditionalFormatting sqref="Y526:Z526">
    <cfRule type="expression" dxfId="0" priority="1676">
      <formula>AND($B526&lt;&gt;"",ISBLANK(Y526))</formula>
    </cfRule>
  </conditionalFormatting>
  <conditionalFormatting sqref="Z526">
    <cfRule type="expression" dxfId="0" priority="1675">
      <formula>AND($B526&lt;&gt;"",ISBLANK(Z526))</formula>
    </cfRule>
  </conditionalFormatting>
  <conditionalFormatting sqref="AC526">
    <cfRule type="expression" dxfId="0" priority="1600">
      <formula>AND($B526&lt;&gt;"",ISBLANK(AC526))</formula>
    </cfRule>
  </conditionalFormatting>
  <conditionalFormatting sqref="O527">
    <cfRule type="expression" dxfId="0" priority="1674">
      <formula>AND($B527&lt;&gt;"",ISBLANK(O527))</formula>
    </cfRule>
  </conditionalFormatting>
  <conditionalFormatting sqref="W527">
    <cfRule type="expression" dxfId="0" priority="1797">
      <formula>AND($B527&lt;&gt;"",ISBLANK(W527))</formula>
    </cfRule>
  </conditionalFormatting>
  <conditionalFormatting sqref="X527">
    <cfRule type="expression" dxfId="0" priority="1798">
      <formula>AND($B527&lt;&gt;"",ISBLANK(X527))</formula>
    </cfRule>
  </conditionalFormatting>
  <conditionalFormatting sqref="Y527">
    <cfRule type="expression" dxfId="0" priority="1673">
      <formula>AND($B527&lt;&gt;"",ISBLANK(Y527))</formula>
    </cfRule>
  </conditionalFormatting>
  <conditionalFormatting sqref="Z527">
    <cfRule type="expression" dxfId="0" priority="1672">
      <formula>AND($B527&lt;&gt;"",ISBLANK(Z527))</formula>
    </cfRule>
  </conditionalFormatting>
  <conditionalFormatting sqref="AC527">
    <cfRule type="expression" dxfId="0" priority="1598">
      <formula>AND($B527&lt;&gt;"",ISBLANK(AC527))</formula>
    </cfRule>
  </conditionalFormatting>
  <conditionalFormatting sqref="O528">
    <cfRule type="expression" dxfId="0" priority="1671">
      <formula>AND($B528&lt;&gt;"",ISBLANK(O528))</formula>
    </cfRule>
  </conditionalFormatting>
  <conditionalFormatting sqref="W528">
    <cfRule type="expression" dxfId="0" priority="1795">
      <formula>AND($B528&lt;&gt;"",ISBLANK(W528))</formula>
    </cfRule>
  </conditionalFormatting>
  <conditionalFormatting sqref="X528">
    <cfRule type="expression" dxfId="0" priority="1796">
      <formula>AND($B528&lt;&gt;"",ISBLANK(X528))</formula>
    </cfRule>
  </conditionalFormatting>
  <conditionalFormatting sqref="Y528">
    <cfRule type="expression" dxfId="0" priority="1670">
      <formula>AND($B528&lt;&gt;"",ISBLANK(Y528))</formula>
    </cfRule>
  </conditionalFormatting>
  <conditionalFormatting sqref="Z528">
    <cfRule type="expression" dxfId="0" priority="1669">
      <formula>AND($B528&lt;&gt;"",ISBLANK(Z528))</formula>
    </cfRule>
  </conditionalFormatting>
  <conditionalFormatting sqref="AC528">
    <cfRule type="expression" dxfId="0" priority="1597">
      <formula>AND($B528&lt;&gt;"",ISBLANK(AC528))</formula>
    </cfRule>
  </conditionalFormatting>
  <conditionalFormatting sqref="O529">
    <cfRule type="expression" dxfId="0" priority="1668">
      <formula>AND($B529&lt;&gt;"",ISBLANK(O529))</formula>
    </cfRule>
  </conditionalFormatting>
  <conditionalFormatting sqref="W529">
    <cfRule type="expression" dxfId="0" priority="1667">
      <formula>AND($B529&lt;&gt;"",ISBLANK(W529))</formula>
    </cfRule>
  </conditionalFormatting>
  <conditionalFormatting sqref="X529">
    <cfRule type="expression" dxfId="0" priority="1666">
      <formula>AND($B529&lt;&gt;"",ISBLANK(X529))</formula>
    </cfRule>
  </conditionalFormatting>
  <conditionalFormatting sqref="Y529">
    <cfRule type="expression" dxfId="0" priority="1665">
      <formula>AND($B529&lt;&gt;"",ISBLANK(Y529))</formula>
    </cfRule>
  </conditionalFormatting>
  <conditionalFormatting sqref="Z529">
    <cfRule type="expression" dxfId="0" priority="1664">
      <formula>AND($B529&lt;&gt;"",ISBLANK(Z529))</formula>
    </cfRule>
  </conditionalFormatting>
  <conditionalFormatting sqref="AC529">
    <cfRule type="expression" dxfId="0" priority="1560">
      <formula>AND($B529&lt;&gt;"",ISBLANK(AC529))</formula>
    </cfRule>
  </conditionalFormatting>
  <conditionalFormatting sqref="AD529">
    <cfRule type="expression" dxfId="0" priority="1558">
      <formula>AND($B529&lt;&gt;"",ISBLANK(AD529))</formula>
    </cfRule>
  </conditionalFormatting>
  <conditionalFormatting sqref="Y530">
    <cfRule type="expression" dxfId="0" priority="1663">
      <formula>AND($B530&lt;&gt;"",ISBLANK(Y530))</formula>
    </cfRule>
  </conditionalFormatting>
  <conditionalFormatting sqref="Y530:Z530">
    <cfRule type="expression" dxfId="0" priority="1662">
      <formula>AND($B530&lt;&gt;"",ISBLANK(Y530))</formula>
    </cfRule>
  </conditionalFormatting>
  <conditionalFormatting sqref="AC530">
    <cfRule type="expression" dxfId="0" priority="1556">
      <formula>AND($B530&lt;&gt;"",ISBLANK(AC530))</formula>
    </cfRule>
  </conditionalFormatting>
  <conditionalFormatting sqref="AD530">
    <cfRule type="expression" dxfId="0" priority="1554">
      <formula>AND($B530&lt;&gt;"",ISBLANK(AD530))</formula>
    </cfRule>
  </conditionalFormatting>
  <conditionalFormatting sqref="O531">
    <cfRule type="expression" dxfId="0" priority="1790">
      <formula>AND($B531&lt;&gt;"",ISBLANK(O531))</formula>
    </cfRule>
  </conditionalFormatting>
  <conditionalFormatting sqref="P531">
    <cfRule type="expression" dxfId="0" priority="1791">
      <formula>AND($B531&lt;&gt;"",ISBLANK(P531))</formula>
    </cfRule>
  </conditionalFormatting>
  <conditionalFormatting sqref="S531">
    <cfRule type="expression" dxfId="0" priority="1792">
      <formula>AND($B531&lt;&gt;"",ISBLANK(S531))</formula>
    </cfRule>
  </conditionalFormatting>
  <conditionalFormatting sqref="V531">
    <cfRule type="expression" dxfId="0" priority="1793">
      <formula>AND($B531&lt;&gt;"",ISBLANK(V531))</formula>
    </cfRule>
  </conditionalFormatting>
  <conditionalFormatting sqref="W531">
    <cfRule type="expression" dxfId="0" priority="1794">
      <formula>AND($B531&lt;&gt;"",ISBLANK(W531))</formula>
    </cfRule>
  </conditionalFormatting>
  <conditionalFormatting sqref="X531">
    <cfRule type="expression" dxfId="0" priority="1789">
      <formula>AND($B531&lt;&gt;"",ISBLANK(X531))</formula>
    </cfRule>
  </conditionalFormatting>
  <conditionalFormatting sqref="X532">
    <cfRule type="expression" dxfId="0" priority="1788">
      <formula>AND($B532&lt;&gt;"",ISBLANK(X532))</formula>
    </cfRule>
  </conditionalFormatting>
  <conditionalFormatting sqref="Y532">
    <cfRule type="expression" dxfId="0" priority="1661">
      <formula>AND($B532&lt;&gt;"",ISBLANK(Y532))</formula>
    </cfRule>
  </conditionalFormatting>
  <conditionalFormatting sqref="Y532:Z532">
    <cfRule type="expression" dxfId="0" priority="1660">
      <formula>AND($B532&lt;&gt;"",ISBLANK(Y532))</formula>
    </cfRule>
  </conditionalFormatting>
  <conditionalFormatting sqref="AC532">
    <cfRule type="expression" dxfId="0" priority="1552">
      <formula>AND($B532&lt;&gt;"",ISBLANK(AC532))</formula>
    </cfRule>
  </conditionalFormatting>
  <conditionalFormatting sqref="AD532">
    <cfRule type="expression" dxfId="0" priority="1550">
      <formula>AND($B532&lt;&gt;"",ISBLANK(AD532))</formula>
    </cfRule>
  </conditionalFormatting>
  <conditionalFormatting sqref="O533">
    <cfRule type="expression" dxfId="0" priority="1782">
      <formula>AND($B533&lt;&gt;"",ISBLANK(O533))</formula>
    </cfRule>
  </conditionalFormatting>
  <conditionalFormatting sqref="P533">
    <cfRule type="expression" dxfId="0" priority="1783">
      <formula>AND($B533&lt;&gt;"",ISBLANK(P533))</formula>
    </cfRule>
  </conditionalFormatting>
  <conditionalFormatting sqref="S533">
    <cfRule type="expression" dxfId="0" priority="1784">
      <formula>AND($B533&lt;&gt;"",ISBLANK(S533))</formula>
    </cfRule>
  </conditionalFormatting>
  <conditionalFormatting sqref="V533">
    <cfRule type="expression" dxfId="0" priority="1785">
      <formula>AND($B533&lt;&gt;"",ISBLANK(V533))</formula>
    </cfRule>
  </conditionalFormatting>
  <conditionalFormatting sqref="W533">
    <cfRule type="expression" dxfId="0" priority="1786">
      <formula>AND($B533&lt;&gt;"",ISBLANK(W533))</formula>
    </cfRule>
  </conditionalFormatting>
  <conditionalFormatting sqref="X533">
    <cfRule type="expression" dxfId="0" priority="1787">
      <formula>AND($B533&lt;&gt;"",ISBLANK(X533))</formula>
    </cfRule>
  </conditionalFormatting>
  <conditionalFormatting sqref="Y533">
    <cfRule type="expression" dxfId="0" priority="1659">
      <formula>AND($B533&lt;&gt;"",ISBLANK(Y533))</formula>
    </cfRule>
  </conditionalFormatting>
  <conditionalFormatting sqref="Y533:Z533">
    <cfRule type="expression" dxfId="0" priority="1658">
      <formula>AND($B533&lt;&gt;"",ISBLANK(Y533))</formula>
    </cfRule>
  </conditionalFormatting>
  <conditionalFormatting sqref="AC533">
    <cfRule type="expression" dxfId="0" priority="1548">
      <formula>AND($B533&lt;&gt;"",ISBLANK(AC533))</formula>
    </cfRule>
  </conditionalFormatting>
  <conditionalFormatting sqref="AD533">
    <cfRule type="expression" dxfId="0" priority="1546">
      <formula>AND($B533&lt;&gt;"",ISBLANK(AD533))</formula>
    </cfRule>
  </conditionalFormatting>
  <conditionalFormatting sqref="O534">
    <cfRule type="expression" dxfId="0" priority="1776">
      <formula>AND($B534&lt;&gt;"",ISBLANK(O534))</formula>
    </cfRule>
  </conditionalFormatting>
  <conditionalFormatting sqref="P534">
    <cfRule type="expression" dxfId="0" priority="1777">
      <formula>AND($B534&lt;&gt;"",ISBLANK(P534))</formula>
    </cfRule>
  </conditionalFormatting>
  <conditionalFormatting sqref="S534">
    <cfRule type="expression" dxfId="0" priority="1778">
      <formula>AND($B534&lt;&gt;"",ISBLANK(S534))</formula>
    </cfRule>
  </conditionalFormatting>
  <conditionalFormatting sqref="V534">
    <cfRule type="expression" dxfId="0" priority="1779">
      <formula>AND($B534&lt;&gt;"",ISBLANK(V534))</formula>
    </cfRule>
  </conditionalFormatting>
  <conditionalFormatting sqref="W534">
    <cfRule type="expression" dxfId="0" priority="1780">
      <formula>AND($B534&lt;&gt;"",ISBLANK(W534))</formula>
    </cfRule>
  </conditionalFormatting>
  <conditionalFormatting sqref="X534">
    <cfRule type="expression" dxfId="0" priority="1781">
      <formula>AND($B534&lt;&gt;"",ISBLANK(X534))</formula>
    </cfRule>
  </conditionalFormatting>
  <conditionalFormatting sqref="Y534">
    <cfRule type="expression" dxfId="0" priority="1657">
      <formula>AND($B534&lt;&gt;"",ISBLANK(Y534))</formula>
    </cfRule>
  </conditionalFormatting>
  <conditionalFormatting sqref="Y534:Z534">
    <cfRule type="expression" dxfId="0" priority="1656">
      <formula>AND($B534&lt;&gt;"",ISBLANK(Y534))</formula>
    </cfRule>
  </conditionalFormatting>
  <conditionalFormatting sqref="AC534">
    <cfRule type="expression" dxfId="0" priority="1544">
      <formula>AND($B534&lt;&gt;"",ISBLANK(AC534))</formula>
    </cfRule>
  </conditionalFormatting>
  <conditionalFormatting sqref="AD534">
    <cfRule type="expression" dxfId="0" priority="1542">
      <formula>AND($B534&lt;&gt;"",ISBLANK(AD534))</formula>
    </cfRule>
  </conditionalFormatting>
  <conditionalFormatting sqref="O535">
    <cfRule type="expression" dxfId="0" priority="1770">
      <formula>AND($B535&lt;&gt;"",ISBLANK(O535))</formula>
    </cfRule>
  </conditionalFormatting>
  <conditionalFormatting sqref="P535">
    <cfRule type="expression" dxfId="0" priority="1771">
      <formula>AND($B535&lt;&gt;"",ISBLANK(P535))</formula>
    </cfRule>
  </conditionalFormatting>
  <conditionalFormatting sqref="S535">
    <cfRule type="expression" dxfId="0" priority="1772">
      <formula>AND($B535&lt;&gt;"",ISBLANK(S535))</formula>
    </cfRule>
  </conditionalFormatting>
  <conditionalFormatting sqref="V535">
    <cfRule type="expression" dxfId="0" priority="1773">
      <formula>AND($B535&lt;&gt;"",ISBLANK(V535))</formula>
    </cfRule>
  </conditionalFormatting>
  <conditionalFormatting sqref="W535">
    <cfRule type="expression" dxfId="0" priority="1774">
      <formula>AND($B535&lt;&gt;"",ISBLANK(W535))</formula>
    </cfRule>
  </conditionalFormatting>
  <conditionalFormatting sqref="X535">
    <cfRule type="expression" dxfId="0" priority="1775">
      <formula>AND($B535&lt;&gt;"",ISBLANK(X535))</formula>
    </cfRule>
  </conditionalFormatting>
  <conditionalFormatting sqref="Y535">
    <cfRule type="expression" dxfId="0" priority="1655">
      <formula>AND($B535&lt;&gt;"",ISBLANK(Y535))</formula>
    </cfRule>
  </conditionalFormatting>
  <conditionalFormatting sqref="Y535:Z535">
    <cfRule type="expression" dxfId="0" priority="1654">
      <formula>AND($B535&lt;&gt;"",ISBLANK(Y535))</formula>
    </cfRule>
  </conditionalFormatting>
  <conditionalFormatting sqref="AC535">
    <cfRule type="expression" dxfId="0" priority="1540">
      <formula>AND($B535&lt;&gt;"",ISBLANK(AC535))</formula>
    </cfRule>
  </conditionalFormatting>
  <conditionalFormatting sqref="AD535">
    <cfRule type="expression" dxfId="0" priority="1538">
      <formula>AND($B535&lt;&gt;"",ISBLANK(AD535))</formula>
    </cfRule>
  </conditionalFormatting>
  <conditionalFormatting sqref="AF535">
    <cfRule type="expression" dxfId="0" priority="1534">
      <formula>AND($B535&lt;&gt;"",ISBLANK(AF535))</formula>
    </cfRule>
  </conditionalFormatting>
  <conditionalFormatting sqref="O536">
    <cfRule type="expression" dxfId="0" priority="1764">
      <formula>AND($B536&lt;&gt;"",ISBLANK(O536))</formula>
    </cfRule>
  </conditionalFormatting>
  <conditionalFormatting sqref="P536">
    <cfRule type="expression" dxfId="0" priority="1765">
      <formula>AND($B536&lt;&gt;"",ISBLANK(P536))</formula>
    </cfRule>
  </conditionalFormatting>
  <conditionalFormatting sqref="S536">
    <cfRule type="expression" dxfId="0" priority="1766">
      <formula>AND($B536&lt;&gt;"",ISBLANK(S536))</formula>
    </cfRule>
  </conditionalFormatting>
  <conditionalFormatting sqref="V536">
    <cfRule type="expression" dxfId="0" priority="1767">
      <formula>AND($B536&lt;&gt;"",ISBLANK(V536))</formula>
    </cfRule>
  </conditionalFormatting>
  <conditionalFormatting sqref="W536">
    <cfRule type="expression" dxfId="0" priority="1768">
      <formula>AND($B536&lt;&gt;"",ISBLANK(W536))</formula>
    </cfRule>
  </conditionalFormatting>
  <conditionalFormatting sqref="X536">
    <cfRule type="expression" dxfId="0" priority="1769">
      <formula>AND($B536&lt;&gt;"",ISBLANK(X536))</formula>
    </cfRule>
  </conditionalFormatting>
  <conditionalFormatting sqref="Y536">
    <cfRule type="expression" dxfId="0" priority="1651">
      <formula>AND($B536&lt;&gt;"",ISBLANK(Y536))</formula>
    </cfRule>
  </conditionalFormatting>
  <conditionalFormatting sqref="Z536">
    <cfRule type="expression" dxfId="0" priority="1650">
      <formula>AND($B536&lt;&gt;"",ISBLANK(Z536))</formula>
    </cfRule>
  </conditionalFormatting>
  <conditionalFormatting sqref="AC536">
    <cfRule type="expression" dxfId="0" priority="1532">
      <formula>AND($B536&lt;&gt;"",ISBLANK(AC536))</formula>
    </cfRule>
  </conditionalFormatting>
  <conditionalFormatting sqref="AD536">
    <cfRule type="expression" dxfId="0" priority="1530">
      <formula>AND($B536&lt;&gt;"",ISBLANK(AD536))</formula>
    </cfRule>
  </conditionalFormatting>
  <conditionalFormatting sqref="AF536">
    <cfRule type="expression" dxfId="0" priority="1529">
      <formula>AND($B536&lt;&gt;"",ISBLANK(AF536))</formula>
    </cfRule>
  </conditionalFormatting>
  <conditionalFormatting sqref="Y537">
    <cfRule type="expression" dxfId="0" priority="1653">
      <formula>AND($B537&lt;&gt;"",ISBLANK(Y537))</formula>
    </cfRule>
  </conditionalFormatting>
  <conditionalFormatting sqref="Y537:Z537">
    <cfRule type="expression" dxfId="0" priority="1652">
      <formula>AND($B537&lt;&gt;"",ISBLANK(Y537))</formula>
    </cfRule>
  </conditionalFormatting>
  <conditionalFormatting sqref="AC537">
    <cfRule type="expression" dxfId="0" priority="1537">
      <formula>AND($B537&lt;&gt;"",ISBLANK(AC537))</formula>
    </cfRule>
  </conditionalFormatting>
  <conditionalFormatting sqref="AD537">
    <cfRule type="expression" dxfId="0" priority="1535">
      <formula>AND($B537&lt;&gt;"",ISBLANK(AD537))</formula>
    </cfRule>
  </conditionalFormatting>
  <conditionalFormatting sqref="AF537">
    <cfRule type="expression" dxfId="0" priority="1533">
      <formula>AND($B537&lt;&gt;"",ISBLANK(AF537))</formula>
    </cfRule>
  </conditionalFormatting>
  <conditionalFormatting sqref="O538">
    <cfRule type="expression" dxfId="0" priority="1758">
      <formula>AND($B538&lt;&gt;"",ISBLANK(O538))</formula>
    </cfRule>
  </conditionalFormatting>
  <conditionalFormatting sqref="P538">
    <cfRule type="expression" dxfId="0" priority="1759">
      <formula>AND($B538&lt;&gt;"",ISBLANK(P538))</formula>
    </cfRule>
  </conditionalFormatting>
  <conditionalFormatting sqref="S538">
    <cfRule type="expression" dxfId="0" priority="1760">
      <formula>AND($B538&lt;&gt;"",ISBLANK(S538))</formula>
    </cfRule>
  </conditionalFormatting>
  <conditionalFormatting sqref="V538">
    <cfRule type="expression" dxfId="0" priority="1761">
      <formula>AND($B538&lt;&gt;"",ISBLANK(V538))</formula>
    </cfRule>
  </conditionalFormatting>
  <conditionalFormatting sqref="W538">
    <cfRule type="expression" dxfId="0" priority="1762">
      <formula>AND($B538&lt;&gt;"",ISBLANK(W538))</formula>
    </cfRule>
  </conditionalFormatting>
  <conditionalFormatting sqref="X538">
    <cfRule type="expression" dxfId="0" priority="1763">
      <formula>AND($B538&lt;&gt;"",ISBLANK(X538))</formula>
    </cfRule>
  </conditionalFormatting>
  <conditionalFormatting sqref="Y538">
    <cfRule type="expression" dxfId="0" priority="1649">
      <formula>AND($B538&lt;&gt;"",ISBLANK(Y538))</formula>
    </cfRule>
  </conditionalFormatting>
  <conditionalFormatting sqref="Y538:Z538">
    <cfRule type="expression" dxfId="0" priority="1648">
      <formula>AND($B538&lt;&gt;"",ISBLANK(Y538))</formula>
    </cfRule>
  </conditionalFormatting>
  <conditionalFormatting sqref="AC538">
    <cfRule type="expression" dxfId="0" priority="1528">
      <formula>AND($B538&lt;&gt;"",ISBLANK(AC538))</formula>
    </cfRule>
  </conditionalFormatting>
  <conditionalFormatting sqref="AD538">
    <cfRule type="expression" dxfId="0" priority="1526">
      <formula>AND($B538&lt;&gt;"",ISBLANK(AD538))</formula>
    </cfRule>
  </conditionalFormatting>
  <conditionalFormatting sqref="AF538">
    <cfRule type="expression" dxfId="0" priority="1525">
      <formula>AND($B538&lt;&gt;"",ISBLANK(AF538))</formula>
    </cfRule>
  </conditionalFormatting>
  <conditionalFormatting sqref="W539">
    <cfRule type="expression" dxfId="0" priority="1757">
      <formula>AND($B539&lt;&gt;"",ISBLANK(W539))</formula>
    </cfRule>
  </conditionalFormatting>
  <conditionalFormatting sqref="X539">
    <cfRule type="expression" dxfId="0" priority="1756">
      <formula>AND($B539&lt;&gt;"",ISBLANK(X539))</formula>
    </cfRule>
  </conditionalFormatting>
  <conditionalFormatting sqref="O540">
    <cfRule type="expression" dxfId="0" priority="1750">
      <formula>AND($B540&lt;&gt;"",ISBLANK(O540))</formula>
    </cfRule>
  </conditionalFormatting>
  <conditionalFormatting sqref="P540">
    <cfRule type="expression" dxfId="0" priority="1751">
      <formula>AND($B540&lt;&gt;"",ISBLANK(P540))</formula>
    </cfRule>
  </conditionalFormatting>
  <conditionalFormatting sqref="S540">
    <cfRule type="expression" dxfId="0" priority="1752">
      <formula>AND($B540&lt;&gt;"",ISBLANK(S540))</formula>
    </cfRule>
  </conditionalFormatting>
  <conditionalFormatting sqref="V540">
    <cfRule type="expression" dxfId="0" priority="1753">
      <formula>AND($B540&lt;&gt;"",ISBLANK(V540))</formula>
    </cfRule>
  </conditionalFormatting>
  <conditionalFormatting sqref="W540">
    <cfRule type="expression" dxfId="0" priority="1754">
      <formula>AND($B540&lt;&gt;"",ISBLANK(W540))</formula>
    </cfRule>
  </conditionalFormatting>
  <conditionalFormatting sqref="X540">
    <cfRule type="expression" dxfId="0" priority="1755">
      <formula>AND($B540&lt;&gt;"",ISBLANK(X540))</formula>
    </cfRule>
  </conditionalFormatting>
  <conditionalFormatting sqref="Y540">
    <cfRule type="expression" dxfId="0" priority="1647">
      <formula>AND($B540&lt;&gt;"",ISBLANK(Y540))</formula>
    </cfRule>
  </conditionalFormatting>
  <conditionalFormatting sqref="Y540:Z540">
    <cfRule type="expression" dxfId="0" priority="1646">
      <formula>AND($B540&lt;&gt;"",ISBLANK(Y540))</formula>
    </cfRule>
  </conditionalFormatting>
  <conditionalFormatting sqref="AC540">
    <cfRule type="expression" dxfId="0" priority="1522">
      <formula>AND($B540&lt;&gt;"",ISBLANK(AC540))</formula>
    </cfRule>
  </conditionalFormatting>
  <conditionalFormatting sqref="AD540">
    <cfRule type="expression" dxfId="0" priority="1520">
      <formula>AND($B540&lt;&gt;"",ISBLANK(AD540))</formula>
    </cfRule>
  </conditionalFormatting>
  <conditionalFormatting sqref="AF540">
    <cfRule type="expression" dxfId="0" priority="1519">
      <formula>AND($B540&lt;&gt;"",ISBLANK(AF540))</formula>
    </cfRule>
  </conditionalFormatting>
  <conditionalFormatting sqref="O541:X541">
    <cfRule type="expression" dxfId="0" priority="1749">
      <formula>AND($B541&lt;&gt;"",ISBLANK(O541))</formula>
    </cfRule>
  </conditionalFormatting>
  <conditionalFormatting sqref="Y541">
    <cfRule type="expression" dxfId="0" priority="1645">
      <formula>AND($B541&lt;&gt;"",ISBLANK(Y541))</formula>
    </cfRule>
  </conditionalFormatting>
  <conditionalFormatting sqref="Y541:Z541">
    <cfRule type="expression" dxfId="0" priority="1644">
      <formula>AND($B541&lt;&gt;"",ISBLANK(Y541))</formula>
    </cfRule>
  </conditionalFormatting>
  <conditionalFormatting sqref="AC541">
    <cfRule type="expression" dxfId="0" priority="1518">
      <formula>AND($B541&lt;&gt;"",ISBLANK(AC541))</formula>
    </cfRule>
  </conditionalFormatting>
  <conditionalFormatting sqref="AD541">
    <cfRule type="expression" dxfId="0" priority="1516">
      <formula>AND($B541&lt;&gt;"",ISBLANK(AD541))</formula>
    </cfRule>
  </conditionalFormatting>
  <conditionalFormatting sqref="AF541">
    <cfRule type="expression" dxfId="0" priority="1515">
      <formula>AND($B541&lt;&gt;"",ISBLANK(AF541))</formula>
    </cfRule>
  </conditionalFormatting>
  <conditionalFormatting sqref="O542">
    <cfRule type="expression" dxfId="0" priority="1743">
      <formula>AND($B542&lt;&gt;"",ISBLANK(O542))</formula>
    </cfRule>
  </conditionalFormatting>
  <conditionalFormatting sqref="P542">
    <cfRule type="expression" dxfId="0" priority="1744">
      <formula>AND($B542&lt;&gt;"",ISBLANK(P542))</formula>
    </cfRule>
  </conditionalFormatting>
  <conditionalFormatting sqref="S542">
    <cfRule type="expression" dxfId="0" priority="1745">
      <formula>AND($B542&lt;&gt;"",ISBLANK(S542))</formula>
    </cfRule>
  </conditionalFormatting>
  <conditionalFormatting sqref="V542">
    <cfRule type="expression" dxfId="0" priority="1746">
      <formula>AND($B542&lt;&gt;"",ISBLANK(V542))</formula>
    </cfRule>
  </conditionalFormatting>
  <conditionalFormatting sqref="W542">
    <cfRule type="expression" dxfId="0" priority="1747">
      <formula>AND($B542&lt;&gt;"",ISBLANK(W542))</formula>
    </cfRule>
  </conditionalFormatting>
  <conditionalFormatting sqref="X542">
    <cfRule type="expression" dxfId="0" priority="1748">
      <formula>AND($B542&lt;&gt;"",ISBLANK(X542))</formula>
    </cfRule>
  </conditionalFormatting>
  <conditionalFormatting sqref="Y542">
    <cfRule type="expression" dxfId="0" priority="1643">
      <formula>AND($B542&lt;&gt;"",ISBLANK(Y542))</formula>
    </cfRule>
  </conditionalFormatting>
  <conditionalFormatting sqref="Y542:Z542">
    <cfRule type="expression" dxfId="0" priority="1642">
      <formula>AND($B542&lt;&gt;"",ISBLANK(Y542))</formula>
    </cfRule>
  </conditionalFormatting>
  <conditionalFormatting sqref="AC542">
    <cfRule type="expression" dxfId="0" priority="1514">
      <formula>AND($B542&lt;&gt;"",ISBLANK(AC542))</formula>
    </cfRule>
  </conditionalFormatting>
  <conditionalFormatting sqref="AD542">
    <cfRule type="expression" dxfId="0" priority="1512">
      <formula>AND($B542&lt;&gt;"",ISBLANK(AD542))</formula>
    </cfRule>
  </conditionalFormatting>
  <conditionalFormatting sqref="AF542">
    <cfRule type="expression" dxfId="0" priority="1511">
      <formula>AND($B542&lt;&gt;"",ISBLANK(AF542))</formula>
    </cfRule>
  </conditionalFormatting>
  <conditionalFormatting sqref="O543">
    <cfRule type="expression" dxfId="0" priority="1737">
      <formula>AND($B543&lt;&gt;"",ISBLANK(O543))</formula>
    </cfRule>
  </conditionalFormatting>
  <conditionalFormatting sqref="P543">
    <cfRule type="expression" dxfId="0" priority="1738">
      <formula>AND($B543&lt;&gt;"",ISBLANK(P543))</formula>
    </cfRule>
  </conditionalFormatting>
  <conditionalFormatting sqref="S543">
    <cfRule type="expression" dxfId="0" priority="1739">
      <formula>AND($B543&lt;&gt;"",ISBLANK(S543))</formula>
    </cfRule>
  </conditionalFormatting>
  <conditionalFormatting sqref="V543">
    <cfRule type="expression" dxfId="0" priority="1740">
      <formula>AND($B543&lt;&gt;"",ISBLANK(V543))</formula>
    </cfRule>
  </conditionalFormatting>
  <conditionalFormatting sqref="W543">
    <cfRule type="expression" dxfId="0" priority="1741">
      <formula>AND($B543&lt;&gt;"",ISBLANK(W543))</formula>
    </cfRule>
  </conditionalFormatting>
  <conditionalFormatting sqref="X543">
    <cfRule type="expression" dxfId="0" priority="1742">
      <formula>AND($B543&lt;&gt;"",ISBLANK(X543))</formula>
    </cfRule>
  </conditionalFormatting>
  <conditionalFormatting sqref="Y543">
    <cfRule type="expression" dxfId="0" priority="1688">
      <formula>AND($B543&lt;&gt;"",ISBLANK(Y543))</formula>
    </cfRule>
  </conditionalFormatting>
  <conditionalFormatting sqref="Y543:Z543">
    <cfRule type="expression" dxfId="0" priority="1687">
      <formula>AND($B543&lt;&gt;"",ISBLANK(Y543))</formula>
    </cfRule>
  </conditionalFormatting>
  <conditionalFormatting sqref="AC543">
    <cfRule type="expression" dxfId="0" priority="1608">
      <formula>AND($B543&lt;&gt;"",ISBLANK(AC543))</formula>
    </cfRule>
  </conditionalFormatting>
  <conditionalFormatting sqref="AD543">
    <cfRule type="expression" dxfId="0" priority="1524">
      <formula>AND($B543&lt;&gt;"",ISBLANK(AD543))</formula>
    </cfRule>
  </conditionalFormatting>
  <conditionalFormatting sqref="AF543">
    <cfRule type="expression" dxfId="0" priority="1523">
      <formula>AND($B543&lt;&gt;"",ISBLANK(AF543))</formula>
    </cfRule>
  </conditionalFormatting>
  <conditionalFormatting sqref="A544">
    <cfRule type="expression" dxfId="0" priority="1817">
      <formula>AND($B544&lt;&gt;"",ISBLANK(A544))</formula>
    </cfRule>
  </conditionalFormatting>
  <conditionalFormatting sqref="D544">
    <cfRule type="expression" dxfId="0" priority="1814">
      <formula>AND($B544&lt;&gt;"",ISBLANK(D544))</formula>
    </cfRule>
  </conditionalFormatting>
  <conditionalFormatting sqref="F544">
    <cfRule type="expression" dxfId="0" priority="1813">
      <formula>AND($B544&lt;&gt;"",ISBLANK(F544))</formula>
    </cfRule>
  </conditionalFormatting>
  <conditionalFormatting sqref="A545">
    <cfRule type="expression" dxfId="0" priority="1816">
      <formula>AND($B545&lt;&gt;"",ISBLANK(A545))</formula>
    </cfRule>
  </conditionalFormatting>
  <conditionalFormatting sqref="F545">
    <cfRule type="expression" dxfId="0" priority="1815">
      <formula>AND($B545&lt;&gt;"",ISBLANK(F545))</formula>
    </cfRule>
  </conditionalFormatting>
  <conditionalFormatting sqref="O545">
    <cfRule type="expression" dxfId="0" priority="1638">
      <formula>AND($B545&lt;&gt;"",ISBLANK(O545))</formula>
    </cfRule>
  </conditionalFormatting>
  <conditionalFormatting sqref="W545">
    <cfRule type="expression" dxfId="0" priority="1637">
      <formula>AND($B545&lt;&gt;"",ISBLANK(W545))</formula>
    </cfRule>
  </conditionalFormatting>
  <conditionalFormatting sqref="AC553">
    <cfRule type="expression" dxfId="0" priority="1476">
      <formula>AND($B553&lt;&gt;"",ISBLANK(AC553))</formula>
    </cfRule>
  </conditionalFormatting>
  <conditionalFormatting sqref="Z554">
    <cfRule type="expression" dxfId="0" priority="1492">
      <formula>AND($B554&lt;&gt;"",ISBLANK(Z554))</formula>
    </cfRule>
  </conditionalFormatting>
  <conditionalFormatting sqref="AA554">
    <cfRule type="expression" dxfId="0" priority="1464">
      <formula>AND($B554&lt;&gt;"",ISBLANK(AA554))</formula>
    </cfRule>
  </conditionalFormatting>
  <conditionalFormatting sqref="AC554">
    <cfRule type="expression" dxfId="0" priority="1465">
      <formula>AND($B554&lt;&gt;"",ISBLANK(AC554))</formula>
    </cfRule>
  </conditionalFormatting>
  <conditionalFormatting sqref="Z555">
    <cfRule type="expression" dxfId="0" priority="1491">
      <formula>AND($B555&lt;&gt;"",ISBLANK(Z555))</formula>
    </cfRule>
  </conditionalFormatting>
  <conditionalFormatting sqref="AA555">
    <cfRule type="expression" dxfId="0" priority="1463">
      <formula>AND($B554&lt;&gt;"",ISBLANK(AA555))</formula>
    </cfRule>
  </conditionalFormatting>
  <conditionalFormatting sqref="AC555">
    <cfRule type="expression" dxfId="0" priority="1466">
      <formula>AND($B555&lt;&gt;"",ISBLANK(AC555))</formula>
    </cfRule>
  </conditionalFormatting>
  <conditionalFormatting sqref="Z556">
    <cfRule type="expression" dxfId="0" priority="1495">
      <formula>AND($B556&lt;&gt;"",ISBLANK(Z556))</formula>
    </cfRule>
  </conditionalFormatting>
  <conditionalFormatting sqref="AC556">
    <cfRule type="expression" dxfId="0" priority="1467">
      <formula>AND($B556&lt;&gt;"",ISBLANK(AC556))</formula>
    </cfRule>
  </conditionalFormatting>
  <conditionalFormatting sqref="Z557">
    <cfRule type="expression" dxfId="0" priority="1496">
      <formula>AND($B557&lt;&gt;"",ISBLANK(Z557))</formula>
    </cfRule>
  </conditionalFormatting>
  <conditionalFormatting sqref="AC557">
    <cfRule type="expression" dxfId="0" priority="1468">
      <formula>AND($B557&lt;&gt;"",ISBLANK(AC557))</formula>
    </cfRule>
  </conditionalFormatting>
  <conditionalFormatting sqref="Z558">
    <cfRule type="expression" dxfId="0" priority="1497">
      <formula>AND($B558&lt;&gt;"",ISBLANK(Z558))</formula>
    </cfRule>
  </conditionalFormatting>
  <conditionalFormatting sqref="AC558">
    <cfRule type="expression" dxfId="0" priority="1469">
      <formula>AND($B558&lt;&gt;"",ISBLANK(AC558))</formula>
    </cfRule>
  </conditionalFormatting>
  <conditionalFormatting sqref="W561">
    <cfRule type="expression" dxfId="0" priority="1483">
      <formula>AND($B561&lt;&gt;"",ISBLANK(W561))</formula>
    </cfRule>
  </conditionalFormatting>
  <conditionalFormatting sqref="X561">
    <cfRule type="expression" dxfId="0" priority="1484">
      <formula>AND($B561&lt;&gt;"",ISBLANK(X561))</formula>
    </cfRule>
  </conditionalFormatting>
  <conditionalFormatting sqref="Y561">
    <cfRule type="expression" dxfId="0" priority="1485">
      <formula>AND($B561&lt;&gt;"",ISBLANK(Y561))</formula>
    </cfRule>
  </conditionalFormatting>
  <conditionalFormatting sqref="Z561">
    <cfRule type="expression" dxfId="0" priority="1486">
      <formula>AND($B561&lt;&gt;"",ISBLANK(Z561))</formula>
    </cfRule>
  </conditionalFormatting>
  <conditionalFormatting sqref="AA561">
    <cfRule type="expression" dxfId="0" priority="1458">
      <formula>AND($B561&lt;&gt;"",ISBLANK(AA561))</formula>
    </cfRule>
  </conditionalFormatting>
  <conditionalFormatting sqref="AB561">
    <cfRule type="expression" dxfId="0" priority="1459">
      <formula>AND($B561&lt;&gt;"",ISBLANK(AB561))</formula>
    </cfRule>
  </conditionalFormatting>
  <conditionalFormatting sqref="AC561">
    <cfRule type="expression" dxfId="0" priority="1456">
      <formula>AND($B561&lt;&gt;"",ISBLANK(AC561))</formula>
    </cfRule>
  </conditionalFormatting>
  <conditionalFormatting sqref="AD561">
    <cfRule type="expression" dxfId="0" priority="1457">
      <formula>AND($B561&lt;&gt;"",ISBLANK(AD561))</formula>
    </cfRule>
  </conditionalFormatting>
  <conditionalFormatting sqref="AE561">
    <cfRule type="expression" dxfId="0" priority="1455">
      <formula>AND($B561&lt;&gt;"",ISBLANK(AE561))</formula>
    </cfRule>
  </conditionalFormatting>
  <conditionalFormatting sqref="AF561">
    <cfRule type="expression" dxfId="0" priority="1460">
      <formula>AND($B561&lt;&gt;"",ISBLANK(AF561))</formula>
    </cfRule>
  </conditionalFormatting>
  <conditionalFormatting sqref="AC562">
    <cfRule type="expression" dxfId="0" priority="1462">
      <formula>AND($B562&lt;&gt;"",ISBLANK(AC562))</formula>
    </cfRule>
  </conditionalFormatting>
  <conditionalFormatting sqref="AE562">
    <cfRule type="expression" dxfId="0" priority="1461">
      <formula>AND($B562&lt;&gt;"",ISBLANK(AE562))</formula>
    </cfRule>
  </conditionalFormatting>
  <conditionalFormatting sqref="W563">
    <cfRule type="expression" dxfId="0" priority="1479">
      <formula>AND($B563&lt;&gt;"",ISBLANK(W563))</formula>
    </cfRule>
  </conditionalFormatting>
  <conditionalFormatting sqref="X563">
    <cfRule type="expression" dxfId="0" priority="1480">
      <formula>AND($B563&lt;&gt;"",ISBLANK(X563))</formula>
    </cfRule>
  </conditionalFormatting>
  <conditionalFormatting sqref="Y563">
    <cfRule type="expression" dxfId="0" priority="1481">
      <formula>AND($B563&lt;&gt;"",ISBLANK(Y563))</formula>
    </cfRule>
  </conditionalFormatting>
  <conditionalFormatting sqref="Z563">
    <cfRule type="expression" dxfId="0" priority="1482">
      <formula>AND($B563&lt;&gt;"",ISBLANK(Z563))</formula>
    </cfRule>
  </conditionalFormatting>
  <conditionalFormatting sqref="AA563">
    <cfRule type="expression" dxfId="0" priority="1453">
      <formula>AND($B563&lt;&gt;"",ISBLANK(AA563))</formula>
    </cfRule>
  </conditionalFormatting>
  <conditionalFormatting sqref="AB563">
    <cfRule type="expression" dxfId="0" priority="1454">
      <formula>AND($B563&lt;&gt;"",ISBLANK(AB563))</formula>
    </cfRule>
  </conditionalFormatting>
  <conditionalFormatting sqref="AC563">
    <cfRule type="expression" dxfId="0" priority="1451">
      <formula>AND($B563&lt;&gt;"",ISBLANK(AC563))</formula>
    </cfRule>
  </conditionalFormatting>
  <conditionalFormatting sqref="AD563">
    <cfRule type="expression" dxfId="0" priority="1452">
      <formula>AND($B563&lt;&gt;"",ISBLANK(AD563))</formula>
    </cfRule>
  </conditionalFormatting>
  <conditionalFormatting sqref="AE563">
    <cfRule type="expression" dxfId="0" priority="1450">
      <formula>AND($B563&lt;&gt;"",ISBLANK(AE563))</formula>
    </cfRule>
  </conditionalFormatting>
  <conditionalFormatting sqref="I591">
    <cfRule type="expression" dxfId="0" priority="1321">
      <formula>AND($B591&lt;&gt;"",ISBLANK(I591))</formula>
    </cfRule>
  </conditionalFormatting>
  <conditionalFormatting sqref="I593">
    <cfRule type="expression" dxfId="0" priority="1320">
      <formula>AND($B593&lt;&gt;"",ISBLANK(I593))</formula>
    </cfRule>
  </conditionalFormatting>
  <conditionalFormatting sqref="Y593">
    <cfRule type="expression" dxfId="0" priority="1318">
      <formula>AND($B593&lt;&gt;"",ISBLANK(Y593))</formula>
    </cfRule>
  </conditionalFormatting>
  <conditionalFormatting sqref="Z593">
    <cfRule type="expression" dxfId="0" priority="1319">
      <formula>AND($B593&lt;&gt;"",ISBLANK(Z593))</formula>
    </cfRule>
  </conditionalFormatting>
  <conditionalFormatting sqref="AA593">
    <cfRule type="expression" dxfId="0" priority="1316">
      <formula>AND($B593&lt;&gt;"",ISBLANK(AA593))</formula>
    </cfRule>
  </conditionalFormatting>
  <conditionalFormatting sqref="AB593">
    <cfRule type="expression" dxfId="0" priority="1317">
      <formula>AND($B593&lt;&gt;"",ISBLANK(AB593))</formula>
    </cfRule>
  </conditionalFormatting>
  <conditionalFormatting sqref="I594">
    <cfRule type="expression" dxfId="0" priority="1313">
      <formula>AND($B594&lt;&gt;"",ISBLANK(I594))</formula>
    </cfRule>
  </conditionalFormatting>
  <conditionalFormatting sqref="Y594">
    <cfRule type="expression" dxfId="0" priority="1311">
      <formula>AND($B594&lt;&gt;"",ISBLANK(Y594))</formula>
    </cfRule>
  </conditionalFormatting>
  <conditionalFormatting sqref="Z594">
    <cfRule type="expression" dxfId="0" priority="1312">
      <formula>AND($B594&lt;&gt;"",ISBLANK(Z594))</formula>
    </cfRule>
  </conditionalFormatting>
  <conditionalFormatting sqref="AA594">
    <cfRule type="expression" dxfId="0" priority="1396">
      <formula>AND($B594&lt;&gt;"",ISBLANK(AA594))</formula>
    </cfRule>
  </conditionalFormatting>
  <conditionalFormatting sqref="AB594">
    <cfRule type="expression" dxfId="0" priority="1395">
      <formula>AND($B594&lt;&gt;"",ISBLANK(AB594))</formula>
    </cfRule>
  </conditionalFormatting>
  <conditionalFormatting sqref="Y595">
    <cfRule type="expression" dxfId="0" priority="1435">
      <formula>AND($B595&lt;&gt;"",ISBLANK(Y595))</formula>
    </cfRule>
  </conditionalFormatting>
  <conditionalFormatting sqref="Z595">
    <cfRule type="expression" dxfId="0" priority="1433">
      <formula>AND($B595&lt;&gt;"",ISBLANK(Z595))</formula>
    </cfRule>
  </conditionalFormatting>
  <conditionalFormatting sqref="AA595">
    <cfRule type="expression" dxfId="0" priority="1390">
      <formula>AND($B595&lt;&gt;"",ISBLANK(AA595))</formula>
    </cfRule>
  </conditionalFormatting>
  <conditionalFormatting sqref="AB595">
    <cfRule type="expression" dxfId="0" priority="1389">
      <formula>AND($B595&lt;&gt;"",ISBLANK(AB595))</formula>
    </cfRule>
  </conditionalFormatting>
  <conditionalFormatting sqref="X596">
    <cfRule type="expression" dxfId="0" priority="1434">
      <formula>AND($B596&lt;&gt;"",ISBLANK(X596))</formula>
    </cfRule>
  </conditionalFormatting>
  <conditionalFormatting sqref="Y596">
    <cfRule type="expression" dxfId="0" priority="1305">
      <formula>AND($B596&lt;&gt;"",ISBLANK(Y596))</formula>
    </cfRule>
  </conditionalFormatting>
  <conditionalFormatting sqref="Z596">
    <cfRule type="expression" dxfId="0" priority="1306">
      <formula>AND($B596&lt;&gt;"",ISBLANK(Z596))</formula>
    </cfRule>
  </conditionalFormatting>
  <conditionalFormatting sqref="AA596">
    <cfRule type="expression" dxfId="0" priority="1308">
      <formula>AND($B596&lt;&gt;"",ISBLANK(AA596))</formula>
    </cfRule>
  </conditionalFormatting>
  <conditionalFormatting sqref="AB596">
    <cfRule type="expression" dxfId="0" priority="1307">
      <formula>AND($B596&lt;&gt;"",ISBLANK(AB596))</formula>
    </cfRule>
  </conditionalFormatting>
  <conditionalFormatting sqref="AC596:AF596">
    <cfRule type="expression" dxfId="0" priority="1304">
      <formula>AND($B596&lt;&gt;"",ISBLANK(AC596))</formula>
    </cfRule>
  </conditionalFormatting>
  <conditionalFormatting sqref="AC597">
    <cfRule type="expression" dxfId="0" priority="1331">
      <formula>AND($B597&lt;&gt;"",ISBLANK(AC597))</formula>
    </cfRule>
  </conditionalFormatting>
  <conditionalFormatting sqref="AD597">
    <cfRule type="expression" dxfId="0" priority="1330">
      <formula>AND($B597&lt;&gt;"",ISBLANK(AD597))</formula>
    </cfRule>
  </conditionalFormatting>
  <conditionalFormatting sqref="AE597">
    <cfRule type="expression" dxfId="0" priority="1329">
      <formula>AND($B597&lt;&gt;"",ISBLANK(AE597))</formula>
    </cfRule>
  </conditionalFormatting>
  <conditionalFormatting sqref="AF597">
    <cfRule type="expression" dxfId="0" priority="1328">
      <formula>AND($B597&lt;&gt;"",ISBLANK(AF597))</formula>
    </cfRule>
  </conditionalFormatting>
  <conditionalFormatting sqref="Z598">
    <cfRule type="expression" dxfId="0" priority="1432">
      <formula>AND($B598&lt;&gt;"",ISBLANK(Z598))</formula>
    </cfRule>
  </conditionalFormatting>
  <conditionalFormatting sqref="AB598">
    <cfRule type="expression" dxfId="0" priority="1383">
      <formula>AND($B598&lt;&gt;"",ISBLANK(AB598))</formula>
    </cfRule>
  </conditionalFormatting>
  <conditionalFormatting sqref="AC598">
    <cfRule type="expression" dxfId="0" priority="1382">
      <formula>AND($B598&lt;&gt;"",ISBLANK(AC598))</formula>
    </cfRule>
  </conditionalFormatting>
  <conditionalFormatting sqref="AD598">
    <cfRule type="expression" dxfId="0" priority="1381">
      <formula>AND($B598&lt;&gt;"",ISBLANK(AD598))</formula>
    </cfRule>
  </conditionalFormatting>
  <conditionalFormatting sqref="AE598">
    <cfRule type="expression" dxfId="0" priority="1380">
      <formula>AND($B598&lt;&gt;"",ISBLANK(AE598))</formula>
    </cfRule>
  </conditionalFormatting>
  <conditionalFormatting sqref="AF598">
    <cfRule type="expression" dxfId="0" priority="1379">
      <formula>AND($B598&lt;&gt;"",ISBLANK(AF598))</formula>
    </cfRule>
  </conditionalFormatting>
  <conditionalFormatting sqref="X599">
    <cfRule type="expression" dxfId="0" priority="1302">
      <formula>AND($B599&lt;&gt;"",ISBLANK(X599))</formula>
    </cfRule>
  </conditionalFormatting>
  <conditionalFormatting sqref="Y599">
    <cfRule type="expression" dxfId="0" priority="1303">
      <formula>AND($B599&lt;&gt;"",ISBLANK(Y599))</formula>
    </cfRule>
  </conditionalFormatting>
  <conditionalFormatting sqref="Z599">
    <cfRule type="expression" dxfId="0" priority="1300">
      <formula>AND($B599&lt;&gt;"",ISBLANK(Z599))</formula>
    </cfRule>
  </conditionalFormatting>
  <conditionalFormatting sqref="AA599">
    <cfRule type="expression" dxfId="0" priority="1299">
      <formula>AND($B599&lt;&gt;"",ISBLANK(AA599))</formula>
    </cfRule>
  </conditionalFormatting>
  <conditionalFormatting sqref="AF599">
    <cfRule type="expression" dxfId="0" priority="1378">
      <formula>AND($B599&lt;&gt;"",ISBLANK(AF599))</formula>
    </cfRule>
  </conditionalFormatting>
  <conditionalFormatting sqref="X600">
    <cfRule type="expression" dxfId="0" priority="1296">
      <formula>AND($B600&lt;&gt;"",ISBLANK(X600))</formula>
    </cfRule>
  </conditionalFormatting>
  <conditionalFormatting sqref="Y600">
    <cfRule type="expression" dxfId="0" priority="1297">
      <formula>AND($B600&lt;&gt;"",ISBLANK(Y600))</formula>
    </cfRule>
  </conditionalFormatting>
  <conditionalFormatting sqref="Z600">
    <cfRule type="expression" dxfId="0" priority="1295">
      <formula>AND($B600&lt;&gt;"",ISBLANK(Z600))</formula>
    </cfRule>
  </conditionalFormatting>
  <conditionalFormatting sqref="AA600">
    <cfRule type="expression" dxfId="0" priority="1294">
      <formula>AND($B600&lt;&gt;"",ISBLANK(AA600))</formula>
    </cfRule>
  </conditionalFormatting>
  <conditionalFormatting sqref="AB600">
    <cfRule type="expression" dxfId="0" priority="1298">
      <formula>AND($B600&lt;&gt;"",ISBLANK(AB600))</formula>
    </cfRule>
  </conditionalFormatting>
  <conditionalFormatting sqref="AC600">
    <cfRule type="expression" dxfId="0" priority="1377">
      <formula>AND($B600&lt;&gt;"",ISBLANK(AC600))</formula>
    </cfRule>
  </conditionalFormatting>
  <conditionalFormatting sqref="AD600">
    <cfRule type="expression" dxfId="0" priority="1376">
      <formula>AND($B600&lt;&gt;"",ISBLANK(AD600))</formula>
    </cfRule>
  </conditionalFormatting>
  <conditionalFormatting sqref="AE600">
    <cfRule type="expression" dxfId="0" priority="1375">
      <formula>AND($B600&lt;&gt;"",ISBLANK(AE600))</formula>
    </cfRule>
  </conditionalFormatting>
  <conditionalFormatting sqref="AF600">
    <cfRule type="expression" dxfId="0" priority="1374">
      <formula>AND($B600&lt;&gt;"",ISBLANK(AF600))</formula>
    </cfRule>
  </conditionalFormatting>
  <conditionalFormatting sqref="W601">
    <cfRule type="expression" dxfId="0" priority="1425">
      <formula>AND($B601&lt;&gt;"",ISBLANK(W601))</formula>
    </cfRule>
  </conditionalFormatting>
  <conditionalFormatting sqref="X601">
    <cfRule type="expression" dxfId="0" priority="1290">
      <formula>AND($B601&lt;&gt;"",ISBLANK(X601))</formula>
    </cfRule>
  </conditionalFormatting>
  <conditionalFormatting sqref="Y601">
    <cfRule type="expression" dxfId="0" priority="1291">
      <formula>AND($B601&lt;&gt;"",ISBLANK(Y601))</formula>
    </cfRule>
  </conditionalFormatting>
  <conditionalFormatting sqref="Z601">
    <cfRule type="expression" dxfId="0" priority="1289">
      <formula>AND($B601&lt;&gt;"",ISBLANK(Z601))</formula>
    </cfRule>
  </conditionalFormatting>
  <conditionalFormatting sqref="AA601">
    <cfRule type="expression" dxfId="0" priority="1288">
      <formula>AND($B601&lt;&gt;"",ISBLANK(AA601))</formula>
    </cfRule>
  </conditionalFormatting>
  <conditionalFormatting sqref="AB601">
    <cfRule type="expression" dxfId="0" priority="1292">
      <formula>AND($B601&lt;&gt;"",ISBLANK(AB601))</formula>
    </cfRule>
  </conditionalFormatting>
  <conditionalFormatting sqref="AC601">
    <cfRule type="expression" dxfId="0" priority="1293">
      <formula>AND($B601&lt;&gt;"",ISBLANK(AC601))</formula>
    </cfRule>
  </conditionalFormatting>
  <conditionalFormatting sqref="AD601">
    <cfRule type="expression" dxfId="0" priority="1370">
      <formula>AND($B601&lt;&gt;"",ISBLANK(AD601))</formula>
    </cfRule>
  </conditionalFormatting>
  <conditionalFormatting sqref="AE601">
    <cfRule type="expression" dxfId="0" priority="1369">
      <formula>AND($B601&lt;&gt;"",ISBLANK(AE601))</formula>
    </cfRule>
  </conditionalFormatting>
  <conditionalFormatting sqref="AF601">
    <cfRule type="expression" dxfId="0" priority="1368">
      <formula>AND($B601&lt;&gt;"",ISBLANK(AF601))</formula>
    </cfRule>
  </conditionalFormatting>
  <conditionalFormatting sqref="X602">
    <cfRule type="expression" dxfId="0" priority="1285">
      <formula>AND($B602&lt;&gt;"",ISBLANK(X602))</formula>
    </cfRule>
  </conditionalFormatting>
  <conditionalFormatting sqref="Y602">
    <cfRule type="expression" dxfId="0" priority="1286">
      <formula>AND($B602&lt;&gt;"",ISBLANK(Y602))</formula>
    </cfRule>
  </conditionalFormatting>
  <conditionalFormatting sqref="Z602">
    <cfRule type="expression" dxfId="0" priority="1284">
      <formula>AND($B602&lt;&gt;"",ISBLANK(Z602))</formula>
    </cfRule>
  </conditionalFormatting>
  <conditionalFormatting sqref="AA602">
    <cfRule type="expression" dxfId="0" priority="1283">
      <formula>AND($B602&lt;&gt;"",ISBLANK(AA602))</formula>
    </cfRule>
  </conditionalFormatting>
  <conditionalFormatting sqref="AB602">
    <cfRule type="expression" dxfId="0" priority="1287">
      <formula>AND($B602&lt;&gt;"",ISBLANK(AB602))</formula>
    </cfRule>
  </conditionalFormatting>
  <conditionalFormatting sqref="AC602">
    <cfRule type="expression" dxfId="0" priority="1366">
      <formula>AND($B602&lt;&gt;"",ISBLANK(AC602))</formula>
    </cfRule>
  </conditionalFormatting>
  <conditionalFormatting sqref="AD602">
    <cfRule type="expression" dxfId="0" priority="1365">
      <formula>AND($B602&lt;&gt;"",ISBLANK(AD602))</formula>
    </cfRule>
  </conditionalFormatting>
  <conditionalFormatting sqref="AE602">
    <cfRule type="expression" dxfId="0" priority="1364">
      <formula>AND($B602&lt;&gt;"",ISBLANK(AE602))</formula>
    </cfRule>
  </conditionalFormatting>
  <conditionalFormatting sqref="AF602">
    <cfRule type="expression" dxfId="0" priority="1363">
      <formula>AND($B602&lt;&gt;"",ISBLANK(AF602))</formula>
    </cfRule>
  </conditionalFormatting>
  <conditionalFormatting sqref="AB603">
    <cfRule type="expression" dxfId="0" priority="1362">
      <formula>AND($B603&lt;&gt;"",ISBLANK(AB603))</formula>
    </cfRule>
  </conditionalFormatting>
  <conditionalFormatting sqref="AC603">
    <cfRule type="expression" dxfId="0" priority="1361">
      <formula>AND($B603&lt;&gt;"",ISBLANK(AC603))</formula>
    </cfRule>
  </conditionalFormatting>
  <conditionalFormatting sqref="AD603">
    <cfRule type="expression" dxfId="0" priority="1360">
      <formula>AND($B603&lt;&gt;"",ISBLANK(AD603))</formula>
    </cfRule>
  </conditionalFormatting>
  <conditionalFormatting sqref="AE603">
    <cfRule type="expression" dxfId="0" priority="1359">
      <formula>AND($B603&lt;&gt;"",ISBLANK(AE603))</formula>
    </cfRule>
  </conditionalFormatting>
  <conditionalFormatting sqref="AF603">
    <cfRule type="expression" dxfId="0" priority="1358">
      <formula>AND($B603&lt;&gt;"",ISBLANK(AF603))</formula>
    </cfRule>
  </conditionalFormatting>
  <conditionalFormatting sqref="Y604">
    <cfRule type="expression" dxfId="0" priority="1282">
      <formula>AND($B604&lt;&gt;"",ISBLANK(Y604))</formula>
    </cfRule>
  </conditionalFormatting>
  <conditionalFormatting sqref="Z604">
    <cfRule type="expression" dxfId="0" priority="1281">
      <formula>AND($B604&lt;&gt;"",ISBLANK(Z604))</formula>
    </cfRule>
  </conditionalFormatting>
  <conditionalFormatting sqref="AA604">
    <cfRule type="expression" dxfId="0" priority="1357">
      <formula>AND($B604&lt;&gt;"",ISBLANK(AA604))</formula>
    </cfRule>
  </conditionalFormatting>
  <conditionalFormatting sqref="AB604">
    <cfRule type="expression" dxfId="0" priority="1356">
      <formula>AND($B604&lt;&gt;"",ISBLANK(AB604))</formula>
    </cfRule>
  </conditionalFormatting>
  <conditionalFormatting sqref="AC604">
    <cfRule type="expression" dxfId="0" priority="1280">
      <formula>AND($B604&lt;&gt;"",ISBLANK(AC604))</formula>
    </cfRule>
  </conditionalFormatting>
  <conditionalFormatting sqref="AD604">
    <cfRule type="expression" dxfId="0" priority="1279">
      <formula>AND($B604&lt;&gt;"",ISBLANK(AD604))</formula>
    </cfRule>
  </conditionalFormatting>
  <conditionalFormatting sqref="AE604">
    <cfRule type="expression" dxfId="0" priority="1278">
      <formula>AND($B604&lt;&gt;"",ISBLANK(AE604))</formula>
    </cfRule>
  </conditionalFormatting>
  <conditionalFormatting sqref="AF604">
    <cfRule type="expression" dxfId="0" priority="1277">
      <formula>AND($B604&lt;&gt;"",ISBLANK(AF604))</formula>
    </cfRule>
  </conditionalFormatting>
  <conditionalFormatting sqref="AA606">
    <cfRule type="expression" dxfId="0" priority="1271">
      <formula>AND($B606&lt;&gt;"",ISBLANK(AA606))</formula>
    </cfRule>
  </conditionalFormatting>
  <conditionalFormatting sqref="AB606">
    <cfRule type="expression" dxfId="0" priority="1272">
      <formula>AND($B606&lt;&gt;"",ISBLANK(AB606))</formula>
    </cfRule>
  </conditionalFormatting>
  <conditionalFormatting sqref="AC606">
    <cfRule type="expression" dxfId="0" priority="1276">
      <formula>AND($B606&lt;&gt;"",ISBLANK(AC606))</formula>
    </cfRule>
  </conditionalFormatting>
  <conditionalFormatting sqref="AD606">
    <cfRule type="expression" dxfId="0" priority="1275">
      <formula>AND($B606&lt;&gt;"",ISBLANK(AD606))</formula>
    </cfRule>
  </conditionalFormatting>
  <conditionalFormatting sqref="AE606">
    <cfRule type="expression" dxfId="0" priority="1274">
      <formula>AND($B606&lt;&gt;"",ISBLANK(AE606))</formula>
    </cfRule>
  </conditionalFormatting>
  <conditionalFormatting sqref="AF606">
    <cfRule type="expression" dxfId="0" priority="1273">
      <formula>AND($B606&lt;&gt;"",ISBLANK(AF606))</formula>
    </cfRule>
  </conditionalFormatting>
  <conditionalFormatting sqref="X607">
    <cfRule type="expression" dxfId="0" priority="1269">
      <formula>AND($B607&lt;&gt;"",ISBLANK(X607))</formula>
    </cfRule>
  </conditionalFormatting>
  <conditionalFormatting sqref="Y607">
    <cfRule type="expression" dxfId="0" priority="1270">
      <formula>AND($B607&lt;&gt;"",ISBLANK(Y607))</formula>
    </cfRule>
  </conditionalFormatting>
  <conditionalFormatting sqref="Z607">
    <cfRule type="expression" dxfId="0" priority="1268">
      <formula>AND($B607&lt;&gt;"",ISBLANK(Z607))</formula>
    </cfRule>
  </conditionalFormatting>
  <conditionalFormatting sqref="AB607">
    <cfRule type="expression" dxfId="0" priority="1350">
      <formula>AND($B607&lt;&gt;"",ISBLANK(AB607))</formula>
    </cfRule>
  </conditionalFormatting>
  <conditionalFormatting sqref="AC607">
    <cfRule type="expression" dxfId="0" priority="1349">
      <formula>AND($B607&lt;&gt;"",ISBLANK(AC607))</formula>
    </cfRule>
  </conditionalFormatting>
  <conditionalFormatting sqref="AD607">
    <cfRule type="expression" dxfId="0" priority="1348">
      <formula>AND($B607&lt;&gt;"",ISBLANK(AD607))</formula>
    </cfRule>
  </conditionalFormatting>
  <conditionalFormatting sqref="AE607">
    <cfRule type="expression" dxfId="0" priority="1347">
      <formula>AND($B607&lt;&gt;"",ISBLANK(AE607))</formula>
    </cfRule>
  </conditionalFormatting>
  <conditionalFormatting sqref="AF607">
    <cfRule type="expression" dxfId="0" priority="1346">
      <formula>AND($B607&lt;&gt;"",ISBLANK(AF607))</formula>
    </cfRule>
  </conditionalFormatting>
  <conditionalFormatting sqref="AC608">
    <cfRule type="expression" dxfId="0" priority="1345">
      <formula>AND($B608&lt;&gt;"",ISBLANK(AC608))</formula>
    </cfRule>
  </conditionalFormatting>
  <conditionalFormatting sqref="AD608">
    <cfRule type="expression" dxfId="0" priority="1344">
      <formula>AND($B608&lt;&gt;"",ISBLANK(AD608))</formula>
    </cfRule>
  </conditionalFormatting>
  <conditionalFormatting sqref="AE608">
    <cfRule type="expression" dxfId="0" priority="1263">
      <formula>AND($B608&lt;&gt;"",ISBLANK(AE608))</formula>
    </cfRule>
  </conditionalFormatting>
  <conditionalFormatting sqref="AF608">
    <cfRule type="expression" dxfId="0" priority="1262">
      <formula>AND($B608&lt;&gt;"",ISBLANK(AF608))</formula>
    </cfRule>
  </conditionalFormatting>
  <conditionalFormatting sqref="X609:Z609">
    <cfRule type="expression" dxfId="0" priority="1414">
      <formula>AND($B609&lt;&gt;"",ISBLANK(X609))</formula>
    </cfRule>
  </conditionalFormatting>
  <conditionalFormatting sqref="AA609:AF609">
    <cfRule type="expression" dxfId="0" priority="1267">
      <formula>AND($B609&lt;&gt;"",ISBLANK(AA609))</formula>
    </cfRule>
  </conditionalFormatting>
  <conditionalFormatting sqref="Y610">
    <cfRule type="expression" dxfId="0" priority="1261">
      <formula>AND($B610&lt;&gt;"",ISBLANK(Y610))</formula>
    </cfRule>
  </conditionalFormatting>
  <conditionalFormatting sqref="Z610">
    <cfRule type="expression" dxfId="0" priority="1260">
      <formula>AND($B610&lt;&gt;"",ISBLANK(Z610))</formula>
    </cfRule>
  </conditionalFormatting>
  <conditionalFormatting sqref="AC610">
    <cfRule type="expression" dxfId="0" priority="1259">
      <formula>AND($B610&lt;&gt;"",ISBLANK(AC610))</formula>
    </cfRule>
  </conditionalFormatting>
  <conditionalFormatting sqref="AD610">
    <cfRule type="expression" dxfId="0" priority="1256">
      <formula>AND($B610&lt;&gt;"",ISBLANK(AD610))</formula>
    </cfRule>
  </conditionalFormatting>
  <conditionalFormatting sqref="AE610">
    <cfRule type="expression" dxfId="0" priority="1255">
      <formula>AND($B610&lt;&gt;"",ISBLANK(AE610))</formula>
    </cfRule>
  </conditionalFormatting>
  <conditionalFormatting sqref="AF610">
    <cfRule type="expression" dxfId="0" priority="1254">
      <formula>AND($B610&lt;&gt;"",ISBLANK(AF610))</formula>
    </cfRule>
  </conditionalFormatting>
  <conditionalFormatting sqref="X611">
    <cfRule type="expression" dxfId="0" priority="1410">
      <formula>AND($B611&lt;&gt;"",ISBLANK(X611))</formula>
    </cfRule>
  </conditionalFormatting>
  <conditionalFormatting sqref="Y611">
    <cfRule type="expression" dxfId="0" priority="1409">
      <formula>AND($B611&lt;&gt;"",ISBLANK(Y611))</formula>
    </cfRule>
  </conditionalFormatting>
  <conditionalFormatting sqref="Z611">
    <cfRule type="expression" dxfId="0" priority="1408">
      <formula>AND($B611&lt;&gt;"",ISBLANK(Z611))</formula>
    </cfRule>
  </conditionalFormatting>
  <conditionalFormatting sqref="AA611">
    <cfRule type="expression" dxfId="0" priority="1327">
      <formula>AND($B611&lt;&gt;"",ISBLANK(AA611))</formula>
    </cfRule>
  </conditionalFormatting>
  <conditionalFormatting sqref="AB611">
    <cfRule type="expression" dxfId="0" priority="1326">
      <formula>AND($B611&lt;&gt;"",ISBLANK(AB611))</formula>
    </cfRule>
  </conditionalFormatting>
  <conditionalFormatting sqref="AC611">
    <cfRule type="expression" dxfId="0" priority="1325">
      <formula>AND($B611&lt;&gt;"",ISBLANK(AC611))</formula>
    </cfRule>
  </conditionalFormatting>
  <conditionalFormatting sqref="AD611">
    <cfRule type="expression" dxfId="0" priority="1324">
      <formula>AND($B611&lt;&gt;"",ISBLANK(AD611))</formula>
    </cfRule>
  </conditionalFormatting>
  <conditionalFormatting sqref="AE611">
    <cfRule type="expression" dxfId="0" priority="1323">
      <formula>AND($B611&lt;&gt;"",ISBLANK(AE611))</formula>
    </cfRule>
  </conditionalFormatting>
  <conditionalFormatting sqref="AF611">
    <cfRule type="expression" dxfId="0" priority="1322">
      <formula>AND($B611&lt;&gt;"",ISBLANK(AF611))</formula>
    </cfRule>
  </conditionalFormatting>
  <conditionalFormatting sqref="Y612">
    <cfRule type="expression" dxfId="0" priority="1253">
      <formula>AND($B612&lt;&gt;"",ISBLANK(Y612))</formula>
    </cfRule>
  </conditionalFormatting>
  <conditionalFormatting sqref="Z612">
    <cfRule type="expression" dxfId="0" priority="1252">
      <formula>AND($B612&lt;&gt;"",ISBLANK(Z612))</formula>
    </cfRule>
  </conditionalFormatting>
  <conditionalFormatting sqref="G634">
    <cfRule type="expression" dxfId="0" priority="238">
      <formula>AND($B634&lt;&gt;"",ISBLANK(G634))</formula>
    </cfRule>
  </conditionalFormatting>
  <conditionalFormatting sqref="H634">
    <cfRule type="expression" dxfId="0" priority="1147">
      <formula>AND($B634&lt;&gt;"",ISBLANK(H634))</formula>
    </cfRule>
  </conditionalFormatting>
  <conditionalFormatting sqref="I634">
    <cfRule type="expression" dxfId="0" priority="1224">
      <formula>AND($B634&lt;&gt;"",ISBLANK(I634))</formula>
    </cfRule>
  </conditionalFormatting>
  <conditionalFormatting sqref="Y634">
    <cfRule type="expression" dxfId="0" priority="1171">
      <formula>AND($B634&lt;&gt;"",ISBLANK(Y634))</formula>
    </cfRule>
  </conditionalFormatting>
  <conditionalFormatting sqref="I636">
    <cfRule type="expression" dxfId="0" priority="1225">
      <formula>AND($B636&lt;&gt;"",ISBLANK(I636))</formula>
    </cfRule>
  </conditionalFormatting>
  <conditionalFormatting sqref="W637">
    <cfRule type="expression" dxfId="0" priority="1216">
      <formula>AND($B637&lt;&gt;"",ISBLANK(W637))</formula>
    </cfRule>
  </conditionalFormatting>
  <conditionalFormatting sqref="Y638">
    <cfRule type="expression" dxfId="0" priority="1215">
      <formula>AND($B638&lt;&gt;"",ISBLANK(Y638))</formula>
    </cfRule>
  </conditionalFormatting>
  <conditionalFormatting sqref="Y639">
    <cfRule type="expression" dxfId="0" priority="1170">
      <formula>AND($B639&lt;&gt;"",ISBLANK(Y639))</formula>
    </cfRule>
  </conditionalFormatting>
  <conditionalFormatting sqref="X640">
    <cfRule type="expression" dxfId="0" priority="1205">
      <formula>AND($B640&lt;&gt;"",ISBLANK(X640))</formula>
    </cfRule>
  </conditionalFormatting>
  <conditionalFormatting sqref="Y640">
    <cfRule type="expression" dxfId="0" priority="1204">
      <formula>AND($B640&lt;&gt;"",ISBLANK(Y640))</formula>
    </cfRule>
  </conditionalFormatting>
  <conditionalFormatting sqref="I641">
    <cfRule type="expression" dxfId="0" priority="1223">
      <formula>AND($B641&lt;&gt;"",ISBLANK(I641))</formula>
    </cfRule>
  </conditionalFormatting>
  <conditionalFormatting sqref="X641">
    <cfRule type="expression" dxfId="0" priority="1209">
      <formula>AND($B641&lt;&gt;"",ISBLANK(X641))</formula>
    </cfRule>
  </conditionalFormatting>
  <conditionalFormatting sqref="Y641">
    <cfRule type="expression" dxfId="0" priority="1208">
      <formula>AND($B641&lt;&gt;"",ISBLANK(Y641))</formula>
    </cfRule>
  </conditionalFormatting>
  <conditionalFormatting sqref="I643">
    <cfRule type="expression" dxfId="0" priority="1222">
      <formula>AND($B643&lt;&gt;"",ISBLANK(I643))</formula>
    </cfRule>
  </conditionalFormatting>
  <conditionalFormatting sqref="X643">
    <cfRule type="expression" dxfId="0" priority="1207">
      <formula>AND($B643&lt;&gt;"",ISBLANK(X643))</formula>
    </cfRule>
  </conditionalFormatting>
  <conditionalFormatting sqref="Y643">
    <cfRule type="expression" dxfId="0" priority="1206">
      <formula>AND($B643&lt;&gt;"",ISBLANK(Y643))</formula>
    </cfRule>
  </conditionalFormatting>
  <conditionalFormatting sqref="Z643">
    <cfRule type="expression" dxfId="0" priority="1169">
      <formula>AND($B643&lt;&gt;"",ISBLANK(Z643))</formula>
    </cfRule>
  </conditionalFormatting>
  <conditionalFormatting sqref="W644">
    <cfRule type="expression" dxfId="0" priority="1203">
      <formula>AND($B644&lt;&gt;"",ISBLANK(W644))</formula>
    </cfRule>
  </conditionalFormatting>
  <conditionalFormatting sqref="Z644">
    <cfRule type="expression" dxfId="0" priority="1168">
      <formula>AND($B644&lt;&gt;"",ISBLANK(Z644))</formula>
    </cfRule>
  </conditionalFormatting>
  <conditionalFormatting sqref="W645">
    <cfRule type="expression" dxfId="0" priority="1202">
      <formula>AND($B645&lt;&gt;"",ISBLANK(W645))</formula>
    </cfRule>
  </conditionalFormatting>
  <conditionalFormatting sqref="X645">
    <cfRule type="expression" dxfId="0" priority="1201">
      <formula>AND($B645&lt;&gt;"",ISBLANK(X645))</formula>
    </cfRule>
  </conditionalFormatting>
  <conditionalFormatting sqref="Y645">
    <cfRule type="expression" dxfId="0" priority="1173">
      <formula>AND($B645&lt;&gt;"",ISBLANK(Y645))</formula>
    </cfRule>
  </conditionalFormatting>
  <conditionalFormatting sqref="Z645">
    <cfRule type="expression" dxfId="0" priority="1172">
      <formula>AND($B645&lt;&gt;"",ISBLANK(Z645))</formula>
    </cfRule>
  </conditionalFormatting>
  <conditionalFormatting sqref="W646">
    <cfRule type="expression" dxfId="0" priority="1200">
      <formula>AND($B646&lt;&gt;"",ISBLANK(W646))</formula>
    </cfRule>
  </conditionalFormatting>
  <conditionalFormatting sqref="X646">
    <cfRule type="expression" dxfId="0" priority="1199">
      <formula>AND($B646&lt;&gt;"",ISBLANK(X646))</formula>
    </cfRule>
  </conditionalFormatting>
  <conditionalFormatting sqref="Y646">
    <cfRule type="expression" dxfId="0" priority="1198">
      <formula>AND($B646&lt;&gt;"",ISBLANK(Y646))</formula>
    </cfRule>
  </conditionalFormatting>
  <conditionalFormatting sqref="Z646">
    <cfRule type="expression" dxfId="0" priority="1167">
      <formula>AND($B646&lt;&gt;"",ISBLANK(Z646))</formula>
    </cfRule>
  </conditionalFormatting>
  <conditionalFormatting sqref="W647">
    <cfRule type="expression" dxfId="0" priority="1197">
      <formula>AND($B647&lt;&gt;"",ISBLANK(W647))</formula>
    </cfRule>
  </conditionalFormatting>
  <conditionalFormatting sqref="X647">
    <cfRule type="expression" dxfId="0" priority="1196">
      <formula>AND($B647&lt;&gt;"",ISBLANK(X647))</formula>
    </cfRule>
  </conditionalFormatting>
  <conditionalFormatting sqref="Y647">
    <cfRule type="expression" dxfId="0" priority="1195">
      <formula>AND($B647&lt;&gt;"",ISBLANK(Y647))</formula>
    </cfRule>
  </conditionalFormatting>
  <conditionalFormatting sqref="Z647">
    <cfRule type="expression" dxfId="0" priority="1166">
      <formula>AND($B647&lt;&gt;"",ISBLANK(Z647))</formula>
    </cfRule>
  </conditionalFormatting>
  <conditionalFormatting sqref="W648">
    <cfRule type="expression" dxfId="0" priority="1194">
      <formula>AND($B648&lt;&gt;"",ISBLANK(W648))</formula>
    </cfRule>
  </conditionalFormatting>
  <conditionalFormatting sqref="X648">
    <cfRule type="expression" dxfId="0" priority="1193">
      <formula>AND($B648&lt;&gt;"",ISBLANK(X648))</formula>
    </cfRule>
  </conditionalFormatting>
  <conditionalFormatting sqref="Y648">
    <cfRule type="expression" dxfId="0" priority="1192">
      <formula>AND($B648&lt;&gt;"",ISBLANK(Y648))</formula>
    </cfRule>
  </conditionalFormatting>
  <conditionalFormatting sqref="Z648">
    <cfRule type="expression" dxfId="0" priority="1165">
      <formula>AND($B648&lt;&gt;"",ISBLANK(Z648))</formula>
    </cfRule>
  </conditionalFormatting>
  <conditionalFormatting sqref="W649">
    <cfRule type="expression" dxfId="0" priority="1191">
      <formula>AND($B649&lt;&gt;"",ISBLANK(W649))</formula>
    </cfRule>
  </conditionalFormatting>
  <conditionalFormatting sqref="X649">
    <cfRule type="expression" dxfId="0" priority="1190">
      <formula>AND($B649&lt;&gt;"",ISBLANK(X649))</formula>
    </cfRule>
  </conditionalFormatting>
  <conditionalFormatting sqref="Y649">
    <cfRule type="expression" dxfId="0" priority="1189">
      <formula>AND($B649&lt;&gt;"",ISBLANK(Y649))</formula>
    </cfRule>
  </conditionalFormatting>
  <conditionalFormatting sqref="Z649">
    <cfRule type="expression" dxfId="0" priority="1164">
      <formula>AND($B649&lt;&gt;"",ISBLANK(Z649))</formula>
    </cfRule>
  </conditionalFormatting>
  <conditionalFormatting sqref="W650">
    <cfRule type="expression" dxfId="0" priority="1188">
      <formula>AND($B650&lt;&gt;"",ISBLANK(W650))</formula>
    </cfRule>
  </conditionalFormatting>
  <conditionalFormatting sqref="X650">
    <cfRule type="expression" dxfId="0" priority="1187">
      <formula>AND($B650&lt;&gt;"",ISBLANK(X650))</formula>
    </cfRule>
  </conditionalFormatting>
  <conditionalFormatting sqref="Y650">
    <cfRule type="expression" dxfId="0" priority="1186">
      <formula>AND($B650&lt;&gt;"",ISBLANK(Y650))</formula>
    </cfRule>
  </conditionalFormatting>
  <conditionalFormatting sqref="Z650">
    <cfRule type="expression" dxfId="0" priority="1163">
      <formula>AND($B650&lt;&gt;"",ISBLANK(Z650))</formula>
    </cfRule>
  </conditionalFormatting>
  <conditionalFormatting sqref="X652">
    <cfRule type="expression" dxfId="0" priority="1214">
      <formula>AND($B652&lt;&gt;"",ISBLANK(X652))</formula>
    </cfRule>
  </conditionalFormatting>
  <conditionalFormatting sqref="Y652">
    <cfRule type="expression" dxfId="0" priority="1162">
      <formula>AND($B652&lt;&gt;"",ISBLANK(Y652))</formula>
    </cfRule>
  </conditionalFormatting>
  <conditionalFormatting sqref="Z652">
    <cfRule type="expression" dxfId="0" priority="1161">
      <formula>AND($B652&lt;&gt;"",ISBLANK(Z652))</formula>
    </cfRule>
  </conditionalFormatting>
  <conditionalFormatting sqref="X653">
    <cfRule type="expression" dxfId="0" priority="1213">
      <formula>AND($B653&lt;&gt;"",ISBLANK(X653))</formula>
    </cfRule>
  </conditionalFormatting>
  <conditionalFormatting sqref="Y653">
    <cfRule type="expression" dxfId="0" priority="1160">
      <formula>AND($B653&lt;&gt;"",ISBLANK(Y653))</formula>
    </cfRule>
  </conditionalFormatting>
  <conditionalFormatting sqref="Z653">
    <cfRule type="expression" dxfId="0" priority="1159">
      <formula>AND($B653&lt;&gt;"",ISBLANK(Z653))</formula>
    </cfRule>
  </conditionalFormatting>
  <conditionalFormatting sqref="W654">
    <cfRule type="expression" dxfId="0" priority="1212">
      <formula>AND($B654&lt;&gt;"",ISBLANK(W654))</formula>
    </cfRule>
  </conditionalFormatting>
  <conditionalFormatting sqref="X654">
    <cfRule type="expression" dxfId="0" priority="1211">
      <formula>AND($B654&lt;&gt;"",ISBLANK(X654))</formula>
    </cfRule>
  </conditionalFormatting>
  <conditionalFormatting sqref="Y654">
    <cfRule type="expression" dxfId="0" priority="1210">
      <formula>AND($B654&lt;&gt;"",ISBLANK(Y654))</formula>
    </cfRule>
  </conditionalFormatting>
  <conditionalFormatting sqref="Z654">
    <cfRule type="expression" dxfId="0" priority="1158">
      <formula>AND($B654&lt;&gt;"",ISBLANK(Z654))</formula>
    </cfRule>
  </conditionalFormatting>
  <conditionalFormatting sqref="W656">
    <cfRule type="expression" dxfId="0" priority="1185">
      <formula>AND($B656&lt;&gt;"",ISBLANK(W656))</formula>
    </cfRule>
  </conditionalFormatting>
  <conditionalFormatting sqref="X656">
    <cfRule type="expression" dxfId="0" priority="1184">
      <formula>AND($B656&lt;&gt;"",ISBLANK(X656))</formula>
    </cfRule>
  </conditionalFormatting>
  <conditionalFormatting sqref="Y656">
    <cfRule type="expression" dxfId="0" priority="1183">
      <formula>AND($B656&lt;&gt;"",ISBLANK(Y656))</formula>
    </cfRule>
  </conditionalFormatting>
  <conditionalFormatting sqref="Z656">
    <cfRule type="expression" dxfId="0" priority="1157">
      <formula>AND($B656&lt;&gt;"",ISBLANK(Z656))</formula>
    </cfRule>
  </conditionalFormatting>
  <conditionalFormatting sqref="X658">
    <cfRule type="expression" dxfId="0" priority="1182">
      <formula>AND($B658&lt;&gt;"",ISBLANK(X658))</formula>
    </cfRule>
  </conditionalFormatting>
  <conditionalFormatting sqref="Y658">
    <cfRule type="expression" dxfId="0" priority="1181">
      <formula>AND($B658&lt;&gt;"",ISBLANK(Y658))</formula>
    </cfRule>
  </conditionalFormatting>
  <conditionalFormatting sqref="Z658">
    <cfRule type="expression" dxfId="0" priority="1156">
      <formula>AND($B658&lt;&gt;"",ISBLANK(Z658))</formula>
    </cfRule>
  </conditionalFormatting>
  <conditionalFormatting sqref="W659">
    <cfRule type="expression" dxfId="0" priority="1180">
      <formula>AND($B659&lt;&gt;"",ISBLANK(W659))</formula>
    </cfRule>
  </conditionalFormatting>
  <conditionalFormatting sqref="X659">
    <cfRule type="expression" dxfId="0" priority="1179">
      <formula>AND($B659&lt;&gt;"",ISBLANK(X659))</formula>
    </cfRule>
  </conditionalFormatting>
  <conditionalFormatting sqref="Y659">
    <cfRule type="expression" dxfId="0" priority="1178">
      <formula>AND($B659&lt;&gt;"",ISBLANK(Y659))</formula>
    </cfRule>
  </conditionalFormatting>
  <conditionalFormatting sqref="Z659">
    <cfRule type="expression" dxfId="0" priority="1155">
      <formula>AND($B659&lt;&gt;"",ISBLANK(Z659))</formula>
    </cfRule>
  </conditionalFormatting>
  <conditionalFormatting sqref="W660">
    <cfRule type="expression" dxfId="0" priority="1177">
      <formula>AND($B660&lt;&gt;"",ISBLANK(W660))</formula>
    </cfRule>
  </conditionalFormatting>
  <conditionalFormatting sqref="X660">
    <cfRule type="expression" dxfId="0" priority="1176">
      <formula>AND($B660&lt;&gt;"",ISBLANK(X660))</formula>
    </cfRule>
  </conditionalFormatting>
  <conditionalFormatting sqref="Y660">
    <cfRule type="expression" dxfId="0" priority="1175">
      <formula>AND($B660&lt;&gt;"",ISBLANK(Y660))</formula>
    </cfRule>
  </conditionalFormatting>
  <conditionalFormatting sqref="Z660">
    <cfRule type="expression" dxfId="0" priority="1174">
      <formula>AND($B660&lt;&gt;"",ISBLANK(Z660))</formula>
    </cfRule>
  </conditionalFormatting>
  <conditionalFormatting sqref="G662">
    <cfRule type="expression" dxfId="0" priority="236">
      <formula>AND($B662&lt;&gt;"",ISBLANK(G662))</formula>
    </cfRule>
  </conditionalFormatting>
  <conditionalFormatting sqref="H662">
    <cfRule type="expression" dxfId="0" priority="1138">
      <formula>AND($B662&lt;&gt;"",ISBLANK(H662))</formula>
    </cfRule>
  </conditionalFormatting>
  <conditionalFormatting sqref="I662">
    <cfRule type="expression" dxfId="0" priority="1139">
      <formula>AND($B662&lt;&gt;"",ISBLANK(I662))</formula>
    </cfRule>
  </conditionalFormatting>
  <conditionalFormatting sqref="X662">
    <cfRule type="expression" dxfId="0" priority="1124">
      <formula>AND($B662&lt;&gt;"",ISBLANK(X662))</formula>
    </cfRule>
  </conditionalFormatting>
  <conditionalFormatting sqref="Y662">
    <cfRule type="expression" dxfId="0" priority="1123">
      <formula>AND($B662&lt;&gt;"",ISBLANK(Y662))</formula>
    </cfRule>
  </conditionalFormatting>
  <conditionalFormatting sqref="Z662">
    <cfRule type="expression" dxfId="0" priority="1122">
      <formula>AND($B662&lt;&gt;"",ISBLANK(Z662))</formula>
    </cfRule>
  </conditionalFormatting>
  <conditionalFormatting sqref="AB662">
    <cfRule type="expression" dxfId="0" priority="1121">
      <formula>AND($B662&lt;&gt;"",ISBLANK(AB662))</formula>
    </cfRule>
  </conditionalFormatting>
  <conditionalFormatting sqref="AC662">
    <cfRule type="expression" dxfId="0" priority="1120">
      <formula>AND($B662&lt;&gt;"",ISBLANK(AC662))</formula>
    </cfRule>
  </conditionalFormatting>
  <conditionalFormatting sqref="AD662">
    <cfRule type="expression" dxfId="0" priority="1104">
      <formula>AND($B662&lt;&gt;"",ISBLANK(AD662))</formula>
    </cfRule>
  </conditionalFormatting>
  <conditionalFormatting sqref="AE662">
    <cfRule type="expression" dxfId="0" priority="1119">
      <formula>AND($B662&lt;&gt;"",ISBLANK(AE662))</formula>
    </cfRule>
  </conditionalFormatting>
  <conditionalFormatting sqref="AF662">
    <cfRule type="expression" dxfId="0" priority="985">
      <formula>AND($B662&lt;&gt;"",ISBLANK(AF662))</formula>
    </cfRule>
  </conditionalFormatting>
  <conditionalFormatting sqref="S663">
    <cfRule type="expression" dxfId="0" priority="1118">
      <formula>AND($B663&lt;&gt;"",ISBLANK(S663))</formula>
    </cfRule>
  </conditionalFormatting>
  <conditionalFormatting sqref="V663">
    <cfRule type="expression" dxfId="0" priority="1117">
      <formula>AND($B663&lt;&gt;"",ISBLANK(V663))</formula>
    </cfRule>
  </conditionalFormatting>
  <conditionalFormatting sqref="W663">
    <cfRule type="expression" dxfId="0" priority="1116">
      <formula>AND($B663&lt;&gt;"",ISBLANK(W663))</formula>
    </cfRule>
  </conditionalFormatting>
  <conditionalFormatting sqref="X663">
    <cfRule type="expression" dxfId="0" priority="1115">
      <formula>AND($B663&lt;&gt;"",ISBLANK(X663))</formula>
    </cfRule>
  </conditionalFormatting>
  <conditionalFormatting sqref="Y663">
    <cfRule type="expression" dxfId="0" priority="1114">
      <formula>AND($B663&lt;&gt;"",ISBLANK(Y663))</formula>
    </cfRule>
  </conditionalFormatting>
  <conditionalFormatting sqref="Z663">
    <cfRule type="expression" dxfId="0" priority="1113">
      <formula>AND($B663&lt;&gt;"",ISBLANK(Z663))</formula>
    </cfRule>
  </conditionalFormatting>
  <conditionalFormatting sqref="AB663">
    <cfRule type="expression" dxfId="0" priority="1106">
      <formula>AND($B663&lt;&gt;"",ISBLANK(AB663))</formula>
    </cfRule>
  </conditionalFormatting>
  <conditionalFormatting sqref="AC663">
    <cfRule type="expression" dxfId="0" priority="1112">
      <formula>AND($B663&lt;&gt;"",ISBLANK(AC663))</formula>
    </cfRule>
  </conditionalFormatting>
  <conditionalFormatting sqref="AD663">
    <cfRule type="expression" dxfId="0" priority="1103">
      <formula>AND($B663&lt;&gt;"",ISBLANK(AD663))</formula>
    </cfRule>
  </conditionalFormatting>
  <conditionalFormatting sqref="AE663">
    <cfRule type="expression" dxfId="0" priority="1111">
      <formula>AND($B663&lt;&gt;"",ISBLANK(AE663))</formula>
    </cfRule>
  </conditionalFormatting>
  <conditionalFormatting sqref="AF663">
    <cfRule type="expression" dxfId="0" priority="984">
      <formula>AND($B663&lt;&gt;"",ISBLANK(AF663))</formula>
    </cfRule>
  </conditionalFormatting>
  <conditionalFormatting sqref="W664">
    <cfRule type="expression" dxfId="0" priority="1109">
      <formula>AND($B664&lt;&gt;"",ISBLANK(W664))</formula>
    </cfRule>
  </conditionalFormatting>
  <conditionalFormatting sqref="X664">
    <cfRule type="expression" dxfId="0" priority="1110">
      <formula>AND($B664&lt;&gt;"",ISBLANK(X664))</formula>
    </cfRule>
  </conditionalFormatting>
  <conditionalFormatting sqref="Y664">
    <cfRule type="expression" dxfId="0" priority="1108">
      <formula>AND($B664&lt;&gt;"",ISBLANK(Y664))</formula>
    </cfRule>
  </conditionalFormatting>
  <conditionalFormatting sqref="Z664">
    <cfRule type="expression" dxfId="0" priority="1107">
      <formula>AND($B664&lt;&gt;"",ISBLANK(Z664))</formula>
    </cfRule>
  </conditionalFormatting>
  <conditionalFormatting sqref="AB664">
    <cfRule type="expression" dxfId="0" priority="1105">
      <formula>AND($B664&lt;&gt;"",ISBLANK(AB664))</formula>
    </cfRule>
  </conditionalFormatting>
  <conditionalFormatting sqref="AC664">
    <cfRule type="expression" dxfId="0" priority="1102">
      <formula>AND($B664&lt;&gt;"",ISBLANK(AC664))</formula>
    </cfRule>
  </conditionalFormatting>
  <conditionalFormatting sqref="AD664">
    <cfRule type="expression" dxfId="0" priority="1100">
      <formula>AND($B664&lt;&gt;"",ISBLANK(AD664))</formula>
    </cfRule>
  </conditionalFormatting>
  <conditionalFormatting sqref="AE664">
    <cfRule type="expression" dxfId="0" priority="1101">
      <formula>AND($B664&lt;&gt;"",ISBLANK(AE664))</formula>
    </cfRule>
  </conditionalFormatting>
  <conditionalFormatting sqref="AF664">
    <cfRule type="expression" dxfId="0" priority="983">
      <formula>AND($B664&lt;&gt;"",ISBLANK(AF664))</formula>
    </cfRule>
  </conditionalFormatting>
  <conditionalFormatting sqref="Y665">
    <cfRule type="expression" dxfId="0" priority="1099">
      <formula>AND($B665&lt;&gt;"",ISBLANK(Y665))</formula>
    </cfRule>
  </conditionalFormatting>
  <conditionalFormatting sqref="Z665">
    <cfRule type="expression" dxfId="0" priority="1098">
      <formula>AND($B665&lt;&gt;"",ISBLANK(Z665))</formula>
    </cfRule>
  </conditionalFormatting>
  <conditionalFormatting sqref="AB665">
    <cfRule type="expression" dxfId="0" priority="1097">
      <formula>AND($B665&lt;&gt;"",ISBLANK(AB665))</formula>
    </cfRule>
  </conditionalFormatting>
  <conditionalFormatting sqref="AC665">
    <cfRule type="expression" dxfId="0" priority="1096">
      <formula>AND($B665&lt;&gt;"",ISBLANK(AC665))</formula>
    </cfRule>
  </conditionalFormatting>
  <conditionalFormatting sqref="AD665">
    <cfRule type="expression" dxfId="0" priority="1094">
      <formula>AND($B665&lt;&gt;"",ISBLANK(AD665))</formula>
    </cfRule>
  </conditionalFormatting>
  <conditionalFormatting sqref="AE665">
    <cfRule type="expression" dxfId="0" priority="1095">
      <formula>AND($B665&lt;&gt;"",ISBLANK(AE665))</formula>
    </cfRule>
  </conditionalFormatting>
  <conditionalFormatting sqref="AF665">
    <cfRule type="expression" dxfId="0" priority="982">
      <formula>AND($B665&lt;&gt;"",ISBLANK(AF665))</formula>
    </cfRule>
  </conditionalFormatting>
  <conditionalFormatting sqref="AE666">
    <cfRule type="expression" dxfId="0" priority="1093">
      <formula>AND($B666&lt;&gt;"",ISBLANK(AE666))</formula>
    </cfRule>
  </conditionalFormatting>
  <conditionalFormatting sqref="AF666">
    <cfRule type="expression" dxfId="0" priority="981">
      <formula>AND($B666&lt;&gt;"",ISBLANK(AF666))</formula>
    </cfRule>
  </conditionalFormatting>
  <conditionalFormatting sqref="V667">
    <cfRule type="expression" dxfId="0" priority="1091">
      <formula>AND($B667&lt;&gt;"",ISBLANK(V667))</formula>
    </cfRule>
  </conditionalFormatting>
  <conditionalFormatting sqref="W667">
    <cfRule type="expression" dxfId="0" priority="1092">
      <formula>AND($B667&lt;&gt;"",ISBLANK(W667))</formula>
    </cfRule>
  </conditionalFormatting>
  <conditionalFormatting sqref="Y667">
    <cfRule type="expression" dxfId="0" priority="1090">
      <formula>AND($B667&lt;&gt;"",ISBLANK(Y667))</formula>
    </cfRule>
  </conditionalFormatting>
  <conditionalFormatting sqref="AA667">
    <cfRule type="expression" dxfId="0" priority="1087">
      <formula>AND($B667&lt;&gt;"",ISBLANK(AA667))</formula>
    </cfRule>
  </conditionalFormatting>
  <conditionalFormatting sqref="AB667">
    <cfRule type="expression" dxfId="0" priority="1086">
      <formula>AND($B667&lt;&gt;"",ISBLANK(AB667))</formula>
    </cfRule>
  </conditionalFormatting>
  <conditionalFormatting sqref="AC667">
    <cfRule type="expression" dxfId="0" priority="1089">
      <formula>AND($B667&lt;&gt;"",ISBLANK(AC667))</formula>
    </cfRule>
  </conditionalFormatting>
  <conditionalFormatting sqref="AD667">
    <cfRule type="expression" dxfId="0" priority="1088">
      <formula>AND($B667&lt;&gt;"",ISBLANK(AD667))</formula>
    </cfRule>
  </conditionalFormatting>
  <conditionalFormatting sqref="AE667">
    <cfRule type="expression" dxfId="0" priority="1085">
      <formula>AND($B667&lt;&gt;"",ISBLANK(AE667))</formula>
    </cfRule>
  </conditionalFormatting>
  <conditionalFormatting sqref="AF667">
    <cfRule type="expression" dxfId="0" priority="980">
      <formula>AND($B667&lt;&gt;"",ISBLANK(AF667))</formula>
    </cfRule>
  </conditionalFormatting>
  <conditionalFormatting sqref="X668">
    <cfRule type="expression" dxfId="0" priority="1084">
      <formula>AND($B668&lt;&gt;"",ISBLANK(X668))</formula>
    </cfRule>
  </conditionalFormatting>
  <conditionalFormatting sqref="Y668">
    <cfRule type="expression" dxfId="0" priority="1083">
      <formula>AND($B668&lt;&gt;"",ISBLANK(Y668))</formula>
    </cfRule>
  </conditionalFormatting>
  <conditionalFormatting sqref="Z668">
    <cfRule type="expression" dxfId="0" priority="1082">
      <formula>AND($B668&lt;&gt;"",ISBLANK(Z668))</formula>
    </cfRule>
  </conditionalFormatting>
  <conditionalFormatting sqref="AA668">
    <cfRule type="expression" dxfId="0" priority="1081">
      <formula>AND($B668&lt;&gt;"",ISBLANK(AA668))</formula>
    </cfRule>
  </conditionalFormatting>
  <conditionalFormatting sqref="AB668">
    <cfRule type="expression" dxfId="0" priority="1080">
      <formula>AND($B668&lt;&gt;"",ISBLANK(AB668))</formula>
    </cfRule>
  </conditionalFormatting>
  <conditionalFormatting sqref="AC668">
    <cfRule type="expression" dxfId="0" priority="1079">
      <formula>AND($B668&lt;&gt;"",ISBLANK(AC668))</formula>
    </cfRule>
  </conditionalFormatting>
  <conditionalFormatting sqref="AD668">
    <cfRule type="expression" dxfId="0" priority="1078">
      <formula>AND($B668&lt;&gt;"",ISBLANK(AD668))</formula>
    </cfRule>
  </conditionalFormatting>
  <conditionalFormatting sqref="AE668">
    <cfRule type="expression" dxfId="0" priority="1077">
      <formula>AND($B668&lt;&gt;"",ISBLANK(AE668))</formula>
    </cfRule>
  </conditionalFormatting>
  <conditionalFormatting sqref="AF668">
    <cfRule type="expression" dxfId="0" priority="979">
      <formula>AND($B668&lt;&gt;"",ISBLANK(AF668))</formula>
    </cfRule>
  </conditionalFormatting>
  <conditionalFormatting sqref="V669">
    <cfRule type="expression" dxfId="0" priority="1075">
      <formula>AND($B669&lt;&gt;"",ISBLANK(V669))</formula>
    </cfRule>
  </conditionalFormatting>
  <conditionalFormatting sqref="W669">
    <cfRule type="expression" dxfId="0" priority="1076">
      <formula>AND($B669&lt;&gt;"",ISBLANK(W669))</formula>
    </cfRule>
  </conditionalFormatting>
  <conditionalFormatting sqref="X669">
    <cfRule type="expression" dxfId="0" priority="1074">
      <formula>AND($B669&lt;&gt;"",ISBLANK(X669))</formula>
    </cfRule>
  </conditionalFormatting>
  <conditionalFormatting sqref="Y669">
    <cfRule type="expression" dxfId="0" priority="1073">
      <formula>AND($B669&lt;&gt;"",ISBLANK(Y669))</formula>
    </cfRule>
  </conditionalFormatting>
  <conditionalFormatting sqref="Z669">
    <cfRule type="expression" dxfId="0" priority="1072">
      <formula>AND($B669&lt;&gt;"",ISBLANK(Z669))</formula>
    </cfRule>
  </conditionalFormatting>
  <conditionalFormatting sqref="AA669">
    <cfRule type="expression" dxfId="0" priority="1069">
      <formula>AND($B669&lt;&gt;"",ISBLANK(AA669))</formula>
    </cfRule>
  </conditionalFormatting>
  <conditionalFormatting sqref="AB669">
    <cfRule type="expression" dxfId="0" priority="1068">
      <formula>AND($B669&lt;&gt;"",ISBLANK(AB669))</formula>
    </cfRule>
  </conditionalFormatting>
  <conditionalFormatting sqref="AC669">
    <cfRule type="expression" dxfId="0" priority="1071">
      <formula>AND($B669&lt;&gt;"",ISBLANK(AC669))</formula>
    </cfRule>
  </conditionalFormatting>
  <conditionalFormatting sqref="AD669">
    <cfRule type="expression" dxfId="0" priority="1070">
      <formula>AND($B669&lt;&gt;"",ISBLANK(AD669))</formula>
    </cfRule>
  </conditionalFormatting>
  <conditionalFormatting sqref="AE669">
    <cfRule type="expression" dxfId="0" priority="1067">
      <formula>AND($B669&lt;&gt;"",ISBLANK(AE669))</formula>
    </cfRule>
  </conditionalFormatting>
  <conditionalFormatting sqref="AF669">
    <cfRule type="expression" dxfId="0" priority="978">
      <formula>AND($B669&lt;&gt;"",ISBLANK(AF669))</formula>
    </cfRule>
  </conditionalFormatting>
  <conditionalFormatting sqref="V670">
    <cfRule type="expression" dxfId="0" priority="1066">
      <formula>AND($B670&lt;&gt;"",ISBLANK(V670))</formula>
    </cfRule>
  </conditionalFormatting>
  <conditionalFormatting sqref="W670">
    <cfRule type="expression" dxfId="0" priority="1064">
      <formula>AND($B670&lt;&gt;"",ISBLANK(W670))</formula>
    </cfRule>
  </conditionalFormatting>
  <conditionalFormatting sqref="X670">
    <cfRule type="expression" dxfId="0" priority="1065">
      <formula>AND($B670&lt;&gt;"",ISBLANK(X670))</formula>
    </cfRule>
  </conditionalFormatting>
  <conditionalFormatting sqref="Y670">
    <cfRule type="expression" dxfId="0" priority="1063">
      <formula>AND($B670&lt;&gt;"",ISBLANK(Y670))</formula>
    </cfRule>
  </conditionalFormatting>
  <conditionalFormatting sqref="Z670">
    <cfRule type="expression" dxfId="0" priority="1062">
      <formula>AND($B670&lt;&gt;"",ISBLANK(Z670))</formula>
    </cfRule>
  </conditionalFormatting>
  <conditionalFormatting sqref="AA670">
    <cfRule type="expression" dxfId="0" priority="1059">
      <formula>AND($B670&lt;&gt;"",ISBLANK(AA670))</formula>
    </cfRule>
  </conditionalFormatting>
  <conditionalFormatting sqref="AB670">
    <cfRule type="expression" dxfId="0" priority="1058">
      <formula>AND($B670&lt;&gt;"",ISBLANK(AB670))</formula>
    </cfRule>
  </conditionalFormatting>
  <conditionalFormatting sqref="AC670">
    <cfRule type="expression" dxfId="0" priority="1061">
      <formula>AND($B670&lt;&gt;"",ISBLANK(AC670))</formula>
    </cfRule>
  </conditionalFormatting>
  <conditionalFormatting sqref="AD670">
    <cfRule type="expression" dxfId="0" priority="1060">
      <formula>AND($B670&lt;&gt;"",ISBLANK(AD670))</formula>
    </cfRule>
  </conditionalFormatting>
  <conditionalFormatting sqref="AE670">
    <cfRule type="expression" dxfId="0" priority="1037">
      <formula>AND($B670&lt;&gt;"",ISBLANK(AE670))</formula>
    </cfRule>
  </conditionalFormatting>
  <conditionalFormatting sqref="AF670">
    <cfRule type="expression" dxfId="0" priority="977">
      <formula>AND($B670&lt;&gt;"",ISBLANK(AF670))</formula>
    </cfRule>
  </conditionalFormatting>
  <conditionalFormatting sqref="Y671">
    <cfRule type="expression" dxfId="0" priority="1057">
      <formula>AND($B671&lt;&gt;"",ISBLANK(Y671))</formula>
    </cfRule>
  </conditionalFormatting>
  <conditionalFormatting sqref="Z671">
    <cfRule type="expression" dxfId="0" priority="1056">
      <formula>AND($B671&lt;&gt;"",ISBLANK(Z671))</formula>
    </cfRule>
  </conditionalFormatting>
  <conditionalFormatting sqref="AC671">
    <cfRule type="expression" dxfId="0" priority="1055">
      <formula>AND($B671&lt;&gt;"",ISBLANK(AC671))</formula>
    </cfRule>
  </conditionalFormatting>
  <conditionalFormatting sqref="AD671">
    <cfRule type="expression" dxfId="0" priority="1054">
      <formula>AND($B671&lt;&gt;"",ISBLANK(AD671))</formula>
    </cfRule>
  </conditionalFormatting>
  <conditionalFormatting sqref="AE671">
    <cfRule type="expression" dxfId="0" priority="1036">
      <formula>AND($B671&lt;&gt;"",ISBLANK(AE671))</formula>
    </cfRule>
  </conditionalFormatting>
  <conditionalFormatting sqref="AF671">
    <cfRule type="expression" dxfId="0" priority="976">
      <formula>AND($B671&lt;&gt;"",ISBLANK(AF671))</formula>
    </cfRule>
  </conditionalFormatting>
  <conditionalFormatting sqref="AC672">
    <cfRule type="expression" dxfId="0" priority="1039">
      <formula>AND($B672&lt;&gt;"",ISBLANK(AC672))</formula>
    </cfRule>
  </conditionalFormatting>
  <conditionalFormatting sqref="AD672">
    <cfRule type="expression" dxfId="0" priority="1053">
      <formula>AND($B672&lt;&gt;"",ISBLANK(AD672))</formula>
    </cfRule>
  </conditionalFormatting>
  <conditionalFormatting sqref="AE672">
    <cfRule type="expression" dxfId="0" priority="1035">
      <formula>AND($B672&lt;&gt;"",ISBLANK(AE672))</formula>
    </cfRule>
  </conditionalFormatting>
  <conditionalFormatting sqref="AF672">
    <cfRule type="expression" dxfId="0" priority="975">
      <formula>AND($B672&lt;&gt;"",ISBLANK(AF672))</formula>
    </cfRule>
  </conditionalFormatting>
  <conditionalFormatting sqref="Y673">
    <cfRule type="expression" dxfId="0" priority="1051">
      <formula>AND($B673&lt;&gt;"",ISBLANK(Y673))</formula>
    </cfRule>
  </conditionalFormatting>
  <conditionalFormatting sqref="Z673">
    <cfRule type="expression" dxfId="0" priority="1052">
      <formula>AND($B673&lt;&gt;"",ISBLANK(Z673))</formula>
    </cfRule>
  </conditionalFormatting>
  <conditionalFormatting sqref="AA673">
    <cfRule type="expression" dxfId="0" priority="1050">
      <formula>AND($B673&lt;&gt;"",ISBLANK(AA673))</formula>
    </cfRule>
  </conditionalFormatting>
  <conditionalFormatting sqref="AB673">
    <cfRule type="expression" dxfId="0" priority="1049">
      <formula>AND($B673&lt;&gt;"",ISBLANK(AB673))</formula>
    </cfRule>
  </conditionalFormatting>
  <conditionalFormatting sqref="AC673">
    <cfRule type="expression" dxfId="0" priority="1038">
      <formula>AND($B673&lt;&gt;"",ISBLANK(AC673))</formula>
    </cfRule>
  </conditionalFormatting>
  <conditionalFormatting sqref="AD673">
    <cfRule type="expression" dxfId="0" priority="1048">
      <formula>AND($B673&lt;&gt;"",ISBLANK(AD673))</formula>
    </cfRule>
  </conditionalFormatting>
  <conditionalFormatting sqref="AE673">
    <cfRule type="expression" dxfId="0" priority="1034">
      <formula>AND($B673&lt;&gt;"",ISBLANK(AE673))</formula>
    </cfRule>
  </conditionalFormatting>
  <conditionalFormatting sqref="AF673">
    <cfRule type="expression" dxfId="0" priority="974">
      <formula>AND($B673&lt;&gt;"",ISBLANK(AF673))</formula>
    </cfRule>
  </conditionalFormatting>
  <conditionalFormatting sqref="W674">
    <cfRule type="expression" dxfId="0" priority="1047">
      <formula>AND($B674&lt;&gt;"",ISBLANK(W674))</formula>
    </cfRule>
  </conditionalFormatting>
  <conditionalFormatting sqref="X674">
    <cfRule type="expression" dxfId="0" priority="1046">
      <formula>AND($B674&lt;&gt;"",ISBLANK(X674))</formula>
    </cfRule>
  </conditionalFormatting>
  <conditionalFormatting sqref="Z674">
    <cfRule type="expression" dxfId="0" priority="1045">
      <formula>AND($B674&lt;&gt;"",ISBLANK(Z674))</formula>
    </cfRule>
  </conditionalFormatting>
  <conditionalFormatting sqref="AA674">
    <cfRule type="expression" dxfId="0" priority="1044">
      <formula>AND($B674&lt;&gt;"",ISBLANK(AA674))</formula>
    </cfRule>
  </conditionalFormatting>
  <conditionalFormatting sqref="AB674">
    <cfRule type="expression" dxfId="0" priority="1043">
      <formula>AND($B674&lt;&gt;"",ISBLANK(AB674))</formula>
    </cfRule>
  </conditionalFormatting>
  <conditionalFormatting sqref="AC674">
    <cfRule type="expression" dxfId="0" priority="1042">
      <formula>AND($B674&lt;&gt;"",ISBLANK(AC674))</formula>
    </cfRule>
  </conditionalFormatting>
  <conditionalFormatting sqref="AD674">
    <cfRule type="expression" dxfId="0" priority="1041">
      <formula>AND($B674&lt;&gt;"",ISBLANK(AD674))</formula>
    </cfRule>
  </conditionalFormatting>
  <conditionalFormatting sqref="AE674">
    <cfRule type="expression" dxfId="0" priority="1040">
      <formula>AND($B674&lt;&gt;"",ISBLANK(AE674))</formula>
    </cfRule>
  </conditionalFormatting>
  <conditionalFormatting sqref="AF674">
    <cfRule type="expression" dxfId="0" priority="973">
      <formula>AND($B674&lt;&gt;"",ISBLANK(AF674))</formula>
    </cfRule>
  </conditionalFormatting>
  <conditionalFormatting sqref="AD675">
    <cfRule type="expression" dxfId="0" priority="1021">
      <formula>AND($B675&lt;&gt;"",ISBLANK(AD675))</formula>
    </cfRule>
  </conditionalFormatting>
  <conditionalFormatting sqref="AF675">
    <cfRule type="expression" dxfId="0" priority="972">
      <formula>AND($B675&lt;&gt;"",ISBLANK(AF675))</formula>
    </cfRule>
  </conditionalFormatting>
  <conditionalFormatting sqref="O677">
    <cfRule type="expression" dxfId="0" priority="1027">
      <formula>AND($B677&lt;&gt;"",ISBLANK(O677))</formula>
    </cfRule>
  </conditionalFormatting>
  <conditionalFormatting sqref="P677">
    <cfRule type="expression" dxfId="0" priority="1028">
      <formula>AND($B677&lt;&gt;"",ISBLANK(P677))</formula>
    </cfRule>
  </conditionalFormatting>
  <conditionalFormatting sqref="S677">
    <cfRule type="expression" dxfId="0" priority="1029">
      <formula>AND($B677&lt;&gt;"",ISBLANK(S677))</formula>
    </cfRule>
  </conditionalFormatting>
  <conditionalFormatting sqref="V677">
    <cfRule type="expression" dxfId="0" priority="1030">
      <formula>AND($B677&lt;&gt;"",ISBLANK(V677))</formula>
    </cfRule>
  </conditionalFormatting>
  <conditionalFormatting sqref="W677">
    <cfRule type="expression" dxfId="0" priority="1031">
      <formula>AND($B677&lt;&gt;"",ISBLANK(W677))</formula>
    </cfRule>
  </conditionalFormatting>
  <conditionalFormatting sqref="X677">
    <cfRule type="expression" dxfId="0" priority="1032">
      <formula>AND($B677&lt;&gt;"",ISBLANK(X677))</formula>
    </cfRule>
  </conditionalFormatting>
  <conditionalFormatting sqref="Y677">
    <cfRule type="expression" dxfId="0" priority="1026">
      <formula>AND($B677&lt;&gt;"",ISBLANK(Y677))</formula>
    </cfRule>
  </conditionalFormatting>
  <conditionalFormatting sqref="Z677">
    <cfRule type="expression" dxfId="0" priority="1033">
      <formula>AND($B677&lt;&gt;"",ISBLANK(Z677))</formula>
    </cfRule>
  </conditionalFormatting>
  <conditionalFormatting sqref="AA677">
    <cfRule type="expression" dxfId="0" priority="1025">
      <formula>AND($B677&lt;&gt;"",ISBLANK(AA677))</formula>
    </cfRule>
  </conditionalFormatting>
  <conditionalFormatting sqref="AB677">
    <cfRule type="expression" dxfId="0" priority="1024">
      <formula>AND($B677&lt;&gt;"",ISBLANK(AB677))</formula>
    </cfRule>
  </conditionalFormatting>
  <conditionalFormatting sqref="AC677">
    <cfRule type="expression" dxfId="0" priority="1023">
      <formula>AND($B677&lt;&gt;"",ISBLANK(AC677))</formula>
    </cfRule>
  </conditionalFormatting>
  <conditionalFormatting sqref="AD677">
    <cfRule type="expression" dxfId="0" priority="1022">
      <formula>AND($B677&lt;&gt;"",ISBLANK(AD677))</formula>
    </cfRule>
  </conditionalFormatting>
  <conditionalFormatting sqref="O678">
    <cfRule type="expression" dxfId="0" priority="1020">
      <formula>AND($B678&lt;&gt;"",ISBLANK(O678))</formula>
    </cfRule>
  </conditionalFormatting>
  <conditionalFormatting sqref="V678">
    <cfRule type="expression" dxfId="0" priority="1019">
      <formula>AND($B678&lt;&gt;"",ISBLANK(V678))</formula>
    </cfRule>
  </conditionalFormatting>
  <conditionalFormatting sqref="W678">
    <cfRule type="expression" dxfId="0" priority="1018">
      <formula>AND($B678&lt;&gt;"",ISBLANK(W678))</formula>
    </cfRule>
  </conditionalFormatting>
  <conditionalFormatting sqref="Y679">
    <cfRule type="expression" dxfId="0" priority="1017">
      <formula>AND($B679&lt;&gt;"",ISBLANK(Y679))</formula>
    </cfRule>
  </conditionalFormatting>
  <conditionalFormatting sqref="Z679">
    <cfRule type="expression" dxfId="0" priority="1016">
      <formula>AND($B679&lt;&gt;"",ISBLANK(Z679))</formula>
    </cfRule>
  </conditionalFormatting>
  <conditionalFormatting sqref="AA679">
    <cfRule type="expression" dxfId="0" priority="1015">
      <formula>AND($B679&lt;&gt;"",ISBLANK(AA679))</formula>
    </cfRule>
  </conditionalFormatting>
  <conditionalFormatting sqref="AB679">
    <cfRule type="expression" dxfId="0" priority="1014">
      <formula>AND($B679&lt;&gt;"",ISBLANK(AB679))</formula>
    </cfRule>
  </conditionalFormatting>
  <conditionalFormatting sqref="AC679">
    <cfRule type="expression" dxfId="0" priority="1012">
      <formula>AND($B679&lt;&gt;"",ISBLANK(AC679))</formula>
    </cfRule>
  </conditionalFormatting>
  <conditionalFormatting sqref="AD679">
    <cfRule type="expression" dxfId="0" priority="1013">
      <formula>AND($B679&lt;&gt;"",ISBLANK(AD679))</formula>
    </cfRule>
  </conditionalFormatting>
  <conditionalFormatting sqref="AE679">
    <cfRule type="expression" dxfId="0" priority="1011">
      <formula>AND($B679&lt;&gt;"",ISBLANK(AE679))</formula>
    </cfRule>
  </conditionalFormatting>
  <conditionalFormatting sqref="AF679">
    <cfRule type="expression" dxfId="0" priority="971">
      <formula>AND($B679&lt;&gt;"",ISBLANK(AF679))</formula>
    </cfRule>
  </conditionalFormatting>
  <conditionalFormatting sqref="V680">
    <cfRule type="expression" dxfId="0" priority="1009">
      <formula>AND($B680&lt;&gt;"",ISBLANK(V680))</formula>
    </cfRule>
  </conditionalFormatting>
  <conditionalFormatting sqref="W680">
    <cfRule type="expression" dxfId="0" priority="1010">
      <formula>AND($B680&lt;&gt;"",ISBLANK(W680))</formula>
    </cfRule>
  </conditionalFormatting>
  <conditionalFormatting sqref="X680">
    <cfRule type="expression" dxfId="0" priority="1008">
      <formula>AND($B680&lt;&gt;"",ISBLANK(X680))</formula>
    </cfRule>
  </conditionalFormatting>
  <conditionalFormatting sqref="Y680">
    <cfRule type="expression" dxfId="0" priority="1002">
      <formula>AND($B680&lt;&gt;"",ISBLANK(Y680))</formula>
    </cfRule>
  </conditionalFormatting>
  <conditionalFormatting sqref="Z680">
    <cfRule type="expression" dxfId="0" priority="1001">
      <formula>AND($B680&lt;&gt;"",ISBLANK(Z680))</formula>
    </cfRule>
  </conditionalFormatting>
  <conditionalFormatting sqref="AA680">
    <cfRule type="expression" dxfId="0" priority="1007">
      <formula>AND($B680&lt;&gt;"",ISBLANK(AA680))</formula>
    </cfRule>
  </conditionalFormatting>
  <conditionalFormatting sqref="AB680">
    <cfRule type="expression" dxfId="0" priority="1006">
      <formula>AND($B680&lt;&gt;"",ISBLANK(AB680))</formula>
    </cfRule>
  </conditionalFormatting>
  <conditionalFormatting sqref="AC680">
    <cfRule type="expression" dxfId="0" priority="1004">
      <formula>AND($B680&lt;&gt;"",ISBLANK(AC680))</formula>
    </cfRule>
  </conditionalFormatting>
  <conditionalFormatting sqref="AD680">
    <cfRule type="expression" dxfId="0" priority="1005">
      <formula>AND($B680&lt;&gt;"",ISBLANK(AD680))</formula>
    </cfRule>
  </conditionalFormatting>
  <conditionalFormatting sqref="AE680">
    <cfRule type="expression" dxfId="0" priority="1003">
      <formula>AND($B680&lt;&gt;"",ISBLANK(AE680))</formula>
    </cfRule>
  </conditionalFormatting>
  <conditionalFormatting sqref="AF680">
    <cfRule type="expression" dxfId="0" priority="970">
      <formula>AND($B680&lt;&gt;"",ISBLANK(AF680))</formula>
    </cfRule>
  </conditionalFormatting>
  <conditionalFormatting sqref="Y681">
    <cfRule type="expression" dxfId="0" priority="1000">
      <formula>AND($B681&lt;&gt;"",ISBLANK(Y681))</formula>
    </cfRule>
  </conditionalFormatting>
  <conditionalFormatting sqref="Z681">
    <cfRule type="expression" dxfId="0" priority="999">
      <formula>AND($B681&lt;&gt;"",ISBLANK(Z681))</formula>
    </cfRule>
  </conditionalFormatting>
  <conditionalFormatting sqref="AC681">
    <cfRule type="expression" dxfId="0" priority="997">
      <formula>AND($B681&lt;&gt;"",ISBLANK(AC681))</formula>
    </cfRule>
  </conditionalFormatting>
  <conditionalFormatting sqref="AD681">
    <cfRule type="expression" dxfId="0" priority="998">
      <formula>AND($B681&lt;&gt;"",ISBLANK(AD681))</formula>
    </cfRule>
  </conditionalFormatting>
  <conditionalFormatting sqref="AE681">
    <cfRule type="expression" dxfId="0" priority="996">
      <formula>AND($B681&lt;&gt;"",ISBLANK(AE681))</formula>
    </cfRule>
  </conditionalFormatting>
  <conditionalFormatting sqref="AF681">
    <cfRule type="expression" dxfId="0" priority="969">
      <formula>AND($B681&lt;&gt;"",ISBLANK(AF681))</formula>
    </cfRule>
  </conditionalFormatting>
  <conditionalFormatting sqref="AA682">
    <cfRule type="expression" dxfId="0" priority="995">
      <formula>AND($B682&lt;&gt;"",ISBLANK(AA682))</formula>
    </cfRule>
  </conditionalFormatting>
  <conditionalFormatting sqref="AB682">
    <cfRule type="expression" dxfId="0" priority="994">
      <formula>AND($B682&lt;&gt;"",ISBLANK(AB682))</formula>
    </cfRule>
  </conditionalFormatting>
  <conditionalFormatting sqref="AC682">
    <cfRule type="expression" dxfId="0" priority="993">
      <formula>AND($B682&lt;&gt;"",ISBLANK(AC682))</formula>
    </cfRule>
  </conditionalFormatting>
  <conditionalFormatting sqref="AD682">
    <cfRule type="expression" dxfId="0" priority="992">
      <formula>AND($B682&lt;&gt;"",ISBLANK(AD682))</formula>
    </cfRule>
  </conditionalFormatting>
  <conditionalFormatting sqref="AE682">
    <cfRule type="expression" dxfId="0" priority="991">
      <formula>AND($B682&lt;&gt;"",ISBLANK(AE682))</formula>
    </cfRule>
  </conditionalFormatting>
  <conditionalFormatting sqref="AF682">
    <cfRule type="expression" dxfId="0" priority="968">
      <formula>AND($B682&lt;&gt;"",ISBLANK(AF682))</formula>
    </cfRule>
  </conditionalFormatting>
  <conditionalFormatting sqref="AA683">
    <cfRule type="expression" dxfId="0" priority="990">
      <formula>AND($B683&lt;&gt;"",ISBLANK(AA683))</formula>
    </cfRule>
  </conditionalFormatting>
  <conditionalFormatting sqref="AB683">
    <cfRule type="expression" dxfId="0" priority="989">
      <formula>AND($B683&lt;&gt;"",ISBLANK(AB683))</formula>
    </cfRule>
  </conditionalFormatting>
  <conditionalFormatting sqref="AC683">
    <cfRule type="expression" dxfId="0" priority="988">
      <formula>AND($B683&lt;&gt;"",ISBLANK(AC683))</formula>
    </cfRule>
  </conditionalFormatting>
  <conditionalFormatting sqref="AD683">
    <cfRule type="expression" dxfId="0" priority="987">
      <formula>AND($B683&lt;&gt;"",ISBLANK(AD683))</formula>
    </cfRule>
  </conditionalFormatting>
  <conditionalFormatting sqref="I689">
    <cfRule type="expression" dxfId="0" priority="960">
      <formula>AND($B689&lt;&gt;"",ISBLANK(I689))</formula>
    </cfRule>
  </conditionalFormatting>
  <conditionalFormatting sqref="G704">
    <cfRule type="expression" dxfId="0" priority="234">
      <formula>AND($B704&lt;&gt;"",ISBLANK(G704))</formula>
    </cfRule>
  </conditionalFormatting>
  <conditionalFormatting sqref="H704">
    <cfRule type="expression" dxfId="0" priority="942">
      <formula>AND($B704&lt;&gt;"",ISBLANK(H704))</formula>
    </cfRule>
  </conditionalFormatting>
  <conditionalFormatting sqref="I704">
    <cfRule type="expression" dxfId="0" priority="930">
      <formula>AND($B704&lt;&gt;"",ISBLANK(I704))</formula>
    </cfRule>
  </conditionalFormatting>
  <conditionalFormatting sqref="G705">
    <cfRule type="expression" dxfId="0" priority="233">
      <formula>AND($B705&lt;&gt;"",ISBLANK(G705))</formula>
    </cfRule>
  </conditionalFormatting>
  <conditionalFormatting sqref="H705">
    <cfRule type="expression" dxfId="0" priority="929">
      <formula>AND($B705&lt;&gt;"",ISBLANK(H705))</formula>
    </cfRule>
  </conditionalFormatting>
  <conditionalFormatting sqref="I705">
    <cfRule type="expression" dxfId="0" priority="917">
      <formula>AND($B705&lt;&gt;"",ISBLANK(I705))</formula>
    </cfRule>
  </conditionalFormatting>
  <conditionalFormatting sqref="G706">
    <cfRule type="expression" dxfId="0" priority="232">
      <formula>AND($B706&lt;&gt;"",ISBLANK(G706))</formula>
    </cfRule>
  </conditionalFormatting>
  <conditionalFormatting sqref="H706">
    <cfRule type="expression" dxfId="0" priority="928">
      <formula>AND($B706&lt;&gt;"",ISBLANK(H706))</formula>
    </cfRule>
  </conditionalFormatting>
  <conditionalFormatting sqref="I706">
    <cfRule type="expression" dxfId="0" priority="916">
      <formula>AND($B706&lt;&gt;"",ISBLANK(I706))</formula>
    </cfRule>
  </conditionalFormatting>
  <conditionalFormatting sqref="G707">
    <cfRule type="expression" dxfId="0" priority="231">
      <formula>AND($B707&lt;&gt;"",ISBLANK(G707))</formula>
    </cfRule>
  </conditionalFormatting>
  <conditionalFormatting sqref="H707">
    <cfRule type="expression" dxfId="0" priority="927">
      <formula>AND($B707&lt;&gt;"",ISBLANK(H707))</formula>
    </cfRule>
  </conditionalFormatting>
  <conditionalFormatting sqref="I707">
    <cfRule type="expression" dxfId="0" priority="915">
      <formula>AND($B707&lt;&gt;"",ISBLANK(I707))</formula>
    </cfRule>
  </conditionalFormatting>
  <conditionalFormatting sqref="G708">
    <cfRule type="expression" dxfId="0" priority="230">
      <formula>AND($B708&lt;&gt;"",ISBLANK(G708))</formula>
    </cfRule>
  </conditionalFormatting>
  <conditionalFormatting sqref="H708">
    <cfRule type="expression" dxfId="0" priority="926">
      <formula>AND($B708&lt;&gt;"",ISBLANK(H708))</formula>
    </cfRule>
  </conditionalFormatting>
  <conditionalFormatting sqref="I708">
    <cfRule type="expression" dxfId="0" priority="914">
      <formula>AND($B708&lt;&gt;"",ISBLANK(I708))</formula>
    </cfRule>
  </conditionalFormatting>
  <conditionalFormatting sqref="G709">
    <cfRule type="expression" dxfId="0" priority="229">
      <formula>AND($B709&lt;&gt;"",ISBLANK(G709))</formula>
    </cfRule>
  </conditionalFormatting>
  <conditionalFormatting sqref="H709">
    <cfRule type="expression" dxfId="0" priority="925">
      <formula>AND($B709&lt;&gt;"",ISBLANK(H709))</formula>
    </cfRule>
  </conditionalFormatting>
  <conditionalFormatting sqref="I709">
    <cfRule type="expression" dxfId="0" priority="913">
      <formula>AND($B709&lt;&gt;"",ISBLANK(I709))</formula>
    </cfRule>
  </conditionalFormatting>
  <conditionalFormatting sqref="G710">
    <cfRule type="expression" dxfId="0" priority="228">
      <formula>AND($B710&lt;&gt;"",ISBLANK(G710))</formula>
    </cfRule>
  </conditionalFormatting>
  <conditionalFormatting sqref="H710">
    <cfRule type="expression" dxfId="0" priority="924">
      <formula>AND($B710&lt;&gt;"",ISBLANK(H710))</formula>
    </cfRule>
  </conditionalFormatting>
  <conditionalFormatting sqref="I710">
    <cfRule type="expression" dxfId="0" priority="912">
      <formula>AND($B710&lt;&gt;"",ISBLANK(I710))</formula>
    </cfRule>
  </conditionalFormatting>
  <conditionalFormatting sqref="G711">
    <cfRule type="expression" dxfId="0" priority="227">
      <formula>AND($B711&lt;&gt;"",ISBLANK(G711))</formula>
    </cfRule>
  </conditionalFormatting>
  <conditionalFormatting sqref="H711">
    <cfRule type="expression" dxfId="0" priority="922">
      <formula>AND($B711&lt;&gt;"",ISBLANK(H711))</formula>
    </cfRule>
  </conditionalFormatting>
  <conditionalFormatting sqref="I711">
    <cfRule type="expression" dxfId="0" priority="911">
      <formula>AND($B711&lt;&gt;"",ISBLANK(I711))</formula>
    </cfRule>
  </conditionalFormatting>
  <conditionalFormatting sqref="G712">
    <cfRule type="expression" dxfId="0" priority="226">
      <formula>AND($B712&lt;&gt;"",ISBLANK(G712))</formula>
    </cfRule>
  </conditionalFormatting>
  <conditionalFormatting sqref="H712">
    <cfRule type="expression" dxfId="0" priority="921">
      <formula>AND($B712&lt;&gt;"",ISBLANK(H712))</formula>
    </cfRule>
  </conditionalFormatting>
  <conditionalFormatting sqref="I712">
    <cfRule type="expression" dxfId="0" priority="910">
      <formula>AND($B712&lt;&gt;"",ISBLANK(I712))</formula>
    </cfRule>
  </conditionalFormatting>
  <conditionalFormatting sqref="G713">
    <cfRule type="expression" dxfId="0" priority="225">
      <formula>AND($B713&lt;&gt;"",ISBLANK(G713))</formula>
    </cfRule>
  </conditionalFormatting>
  <conditionalFormatting sqref="H713">
    <cfRule type="expression" dxfId="0" priority="920">
      <formula>AND($B713&lt;&gt;"",ISBLANK(H713))</formula>
    </cfRule>
  </conditionalFormatting>
  <conditionalFormatting sqref="I713">
    <cfRule type="expression" dxfId="0" priority="907">
      <formula>AND($B713&lt;&gt;"",ISBLANK(I713))</formula>
    </cfRule>
  </conditionalFormatting>
  <conditionalFormatting sqref="G714">
    <cfRule type="expression" dxfId="0" priority="224">
      <formula>AND($B714&lt;&gt;"",ISBLANK(G714))</formula>
    </cfRule>
  </conditionalFormatting>
  <conditionalFormatting sqref="H714">
    <cfRule type="expression" dxfId="0" priority="919">
      <formula>AND($B714&lt;&gt;"",ISBLANK(H714))</formula>
    </cfRule>
  </conditionalFormatting>
  <conditionalFormatting sqref="G715">
    <cfRule type="expression" dxfId="0" priority="223">
      <formula>AND($B715&lt;&gt;"",ISBLANK(G715))</formula>
    </cfRule>
  </conditionalFormatting>
  <conditionalFormatting sqref="H715">
    <cfRule type="expression" dxfId="0" priority="918">
      <formula>AND($B715&lt;&gt;"",ISBLANK(H715))</formula>
    </cfRule>
  </conditionalFormatting>
  <conditionalFormatting sqref="G716">
    <cfRule type="expression" dxfId="0" priority="213">
      <formula>AND($C716&lt;&gt;"",ISBLANK(G716))</formula>
    </cfRule>
  </conditionalFormatting>
  <conditionalFormatting sqref="H716">
    <cfRule type="expression" dxfId="0" priority="864">
      <formula>AND($C716&lt;&gt;"",ISBLANK(H716))</formula>
    </cfRule>
  </conditionalFormatting>
  <conditionalFormatting sqref="G717">
    <cfRule type="expression" dxfId="0" priority="221">
      <formula>AND($C717&lt;&gt;"",ISBLANK(G717))</formula>
    </cfRule>
  </conditionalFormatting>
  <conditionalFormatting sqref="H717">
    <cfRule type="expression" dxfId="0" priority="880">
      <formula>AND($C717&lt;&gt;"",ISBLANK(H717))</formula>
    </cfRule>
  </conditionalFormatting>
  <conditionalFormatting sqref="I717">
    <cfRule type="expression" dxfId="0" priority="879">
      <formula>AND($C717&lt;&gt;"",ISBLANK(I717))</formula>
    </cfRule>
  </conditionalFormatting>
  <conditionalFormatting sqref="O717">
    <cfRule type="expression" dxfId="0" priority="843">
      <formula>AND($C717&lt;&gt;"",ISBLANK(O717))</formula>
    </cfRule>
  </conditionalFormatting>
  <conditionalFormatting sqref="P717">
    <cfRule type="expression" dxfId="0" priority="844">
      <formula>AND($C717&lt;&gt;"",ISBLANK(P717))</formula>
    </cfRule>
  </conditionalFormatting>
  <conditionalFormatting sqref="S717">
    <cfRule type="expression" dxfId="0" priority="845">
      <formula>AND($C717&lt;&gt;"",ISBLANK(S717))</formula>
    </cfRule>
  </conditionalFormatting>
  <conditionalFormatting sqref="V717">
    <cfRule type="expression" dxfId="0" priority="846">
      <formula>AND($C717&lt;&gt;"",ISBLANK(V717))</formula>
    </cfRule>
  </conditionalFormatting>
  <conditionalFormatting sqref="W717">
    <cfRule type="expression" dxfId="0" priority="847">
      <formula>AND($C717&lt;&gt;"",ISBLANK(W717))</formula>
    </cfRule>
  </conditionalFormatting>
  <conditionalFormatting sqref="X717">
    <cfRule type="expression" dxfId="0" priority="848">
      <formula>AND($C717&lt;&gt;"",ISBLANK(X717))</formula>
    </cfRule>
  </conditionalFormatting>
  <conditionalFormatting sqref="Y717">
    <cfRule type="expression" dxfId="0" priority="842">
      <formula>AND($C717&lt;&gt;"",ISBLANK(Y717))</formula>
    </cfRule>
  </conditionalFormatting>
  <conditionalFormatting sqref="Z717">
    <cfRule type="expression" dxfId="0" priority="849">
      <formula>AND($C717&lt;&gt;"",ISBLANK(Z717))</formula>
    </cfRule>
  </conditionalFormatting>
  <conditionalFormatting sqref="AA717">
    <cfRule type="expression" dxfId="0" priority="841">
      <formula>AND($C717&lt;&gt;"",ISBLANK(AA717))</formula>
    </cfRule>
  </conditionalFormatting>
  <conditionalFormatting sqref="AC717">
    <cfRule type="expression" dxfId="0" priority="839">
      <formula>AND($C717&lt;&gt;"",ISBLANK(AC717))</formula>
    </cfRule>
  </conditionalFormatting>
  <conditionalFormatting sqref="AD717">
    <cfRule type="expression" dxfId="0" priority="838">
      <formula>AND($C717&lt;&gt;"",ISBLANK(AD717))</formula>
    </cfRule>
  </conditionalFormatting>
  <conditionalFormatting sqref="AE717">
    <cfRule type="expression" dxfId="0" priority="840">
      <formula>AND($C717&lt;&gt;"",ISBLANK(AE717))</formula>
    </cfRule>
  </conditionalFormatting>
  <conditionalFormatting sqref="C718">
    <cfRule type="expression" dxfId="0" priority="885">
      <formula>AND($C718&lt;&gt;"",ISBLANK(C718))</formula>
    </cfRule>
  </conditionalFormatting>
  <conditionalFormatting sqref="D718">
    <cfRule type="expression" dxfId="0" priority="886">
      <formula>AND($C718&lt;&gt;"",ISBLANK(D718))</formula>
    </cfRule>
  </conditionalFormatting>
  <conditionalFormatting sqref="G718">
    <cfRule type="expression" dxfId="0" priority="220">
      <formula>AND($C718&lt;&gt;"",ISBLANK(G718))</formula>
    </cfRule>
  </conditionalFormatting>
  <conditionalFormatting sqref="H718">
    <cfRule type="expression" dxfId="0" priority="878">
      <formula>AND($C718&lt;&gt;"",ISBLANK(H718))</formula>
    </cfRule>
  </conditionalFormatting>
  <conditionalFormatting sqref="I718">
    <cfRule type="expression" dxfId="0" priority="877">
      <formula>AND($C718&lt;&gt;"",ISBLANK(I718))</formula>
    </cfRule>
  </conditionalFormatting>
  <conditionalFormatting sqref="O718">
    <cfRule type="expression" dxfId="0" priority="831">
      <formula>AND($C718&lt;&gt;"",ISBLANK(O718))</formula>
    </cfRule>
  </conditionalFormatting>
  <conditionalFormatting sqref="P718">
    <cfRule type="expression" dxfId="0" priority="832">
      <formula>AND($C718&lt;&gt;"",ISBLANK(P718))</formula>
    </cfRule>
  </conditionalFormatting>
  <conditionalFormatting sqref="S718">
    <cfRule type="expression" dxfId="0" priority="833">
      <formula>AND($C718&lt;&gt;"",ISBLANK(S718))</formula>
    </cfRule>
  </conditionalFormatting>
  <conditionalFormatting sqref="V718">
    <cfRule type="expression" dxfId="0" priority="834">
      <formula>AND($C718&lt;&gt;"",ISBLANK(V718))</formula>
    </cfRule>
  </conditionalFormatting>
  <conditionalFormatting sqref="W718">
    <cfRule type="expression" dxfId="0" priority="835">
      <formula>AND($C718&lt;&gt;"",ISBLANK(W718))</formula>
    </cfRule>
  </conditionalFormatting>
  <conditionalFormatting sqref="X718">
    <cfRule type="expression" dxfId="0" priority="836">
      <formula>AND($C718&lt;&gt;"",ISBLANK(X718))</formula>
    </cfRule>
  </conditionalFormatting>
  <conditionalFormatting sqref="Y718">
    <cfRule type="expression" dxfId="0" priority="830">
      <formula>AND($C718&lt;&gt;"",ISBLANK(Y718))</formula>
    </cfRule>
  </conditionalFormatting>
  <conditionalFormatting sqref="Z718">
    <cfRule type="expression" dxfId="0" priority="837">
      <formula>AND($C718&lt;&gt;"",ISBLANK(Z718))</formula>
    </cfRule>
  </conditionalFormatting>
  <conditionalFormatting sqref="AA718">
    <cfRule type="expression" dxfId="0" priority="829">
      <formula>AND($C718&lt;&gt;"",ISBLANK(AA718))</formula>
    </cfRule>
  </conditionalFormatting>
  <conditionalFormatting sqref="AC718">
    <cfRule type="expression" dxfId="0" priority="827">
      <formula>AND($C718&lt;&gt;"",ISBLANK(AC718))</formula>
    </cfRule>
  </conditionalFormatting>
  <conditionalFormatting sqref="AD718">
    <cfRule type="expression" dxfId="0" priority="826">
      <formula>AND($C718&lt;&gt;"",ISBLANK(AD718))</formula>
    </cfRule>
  </conditionalFormatting>
  <conditionalFormatting sqref="AE718">
    <cfRule type="expression" dxfId="0" priority="828">
      <formula>AND($C718&lt;&gt;"",ISBLANK(AE718))</formula>
    </cfRule>
  </conditionalFormatting>
  <conditionalFormatting sqref="G719">
    <cfRule type="expression" dxfId="0" priority="222">
      <formula>AND($C719&lt;&gt;"",ISBLANK(G719))</formula>
    </cfRule>
  </conditionalFormatting>
  <conditionalFormatting sqref="H719">
    <cfRule type="expression" dxfId="0" priority="881">
      <formula>AND($C719&lt;&gt;"",ISBLANK(H719))</formula>
    </cfRule>
  </conditionalFormatting>
  <conditionalFormatting sqref="G720">
    <cfRule type="expression" dxfId="0" priority="219">
      <formula>AND($C720&lt;&gt;"",ISBLANK(G720))</formula>
    </cfRule>
  </conditionalFormatting>
  <conditionalFormatting sqref="H720">
    <cfRule type="expression" dxfId="0" priority="875">
      <formula>AND($C720&lt;&gt;"",ISBLANK(H720))</formula>
    </cfRule>
  </conditionalFormatting>
  <conditionalFormatting sqref="I720">
    <cfRule type="expression" dxfId="0" priority="876">
      <formula>AND($C720&lt;&gt;"",ISBLANK(I720))</formula>
    </cfRule>
  </conditionalFormatting>
  <conditionalFormatting sqref="O720">
    <cfRule type="expression" dxfId="0" priority="819">
      <formula>AND($C720&lt;&gt;"",ISBLANK(O720))</formula>
    </cfRule>
  </conditionalFormatting>
  <conditionalFormatting sqref="P720">
    <cfRule type="expression" dxfId="0" priority="820">
      <formula>AND($C720&lt;&gt;"",ISBLANK(P720))</formula>
    </cfRule>
  </conditionalFormatting>
  <conditionalFormatting sqref="S720">
    <cfRule type="expression" dxfId="0" priority="821">
      <formula>AND($C720&lt;&gt;"",ISBLANK(S720))</formula>
    </cfRule>
  </conditionalFormatting>
  <conditionalFormatting sqref="V720">
    <cfRule type="expression" dxfId="0" priority="822">
      <formula>AND($C720&lt;&gt;"",ISBLANK(V720))</formula>
    </cfRule>
  </conditionalFormatting>
  <conditionalFormatting sqref="W720">
    <cfRule type="expression" dxfId="0" priority="823">
      <formula>AND($C720&lt;&gt;"",ISBLANK(W720))</formula>
    </cfRule>
  </conditionalFormatting>
  <conditionalFormatting sqref="X720">
    <cfRule type="expression" dxfId="0" priority="824">
      <formula>AND($C720&lt;&gt;"",ISBLANK(X720))</formula>
    </cfRule>
  </conditionalFormatting>
  <conditionalFormatting sqref="Y720">
    <cfRule type="expression" dxfId="0" priority="818">
      <formula>AND($C720&lt;&gt;"",ISBLANK(Y720))</formula>
    </cfRule>
  </conditionalFormatting>
  <conditionalFormatting sqref="Z720">
    <cfRule type="expression" dxfId="0" priority="825">
      <formula>AND($C720&lt;&gt;"",ISBLANK(Z720))</formula>
    </cfRule>
  </conditionalFormatting>
  <conditionalFormatting sqref="AA720">
    <cfRule type="expression" dxfId="0" priority="817">
      <formula>AND($C720&lt;&gt;"",ISBLANK(AA720))</formula>
    </cfRule>
  </conditionalFormatting>
  <conditionalFormatting sqref="AC720">
    <cfRule type="expression" dxfId="0" priority="816">
      <formula>AND($C720&lt;&gt;"",ISBLANK(AC720))</formula>
    </cfRule>
  </conditionalFormatting>
  <conditionalFormatting sqref="G721">
    <cfRule type="expression" dxfId="0" priority="218">
      <formula>AND($C721&lt;&gt;"",ISBLANK(G721))</formula>
    </cfRule>
  </conditionalFormatting>
  <conditionalFormatting sqref="H721">
    <cfRule type="expression" dxfId="0" priority="873">
      <formula>AND($C721&lt;&gt;"",ISBLANK(H721))</formula>
    </cfRule>
  </conditionalFormatting>
  <conditionalFormatting sqref="I721">
    <cfRule type="expression" dxfId="0" priority="874">
      <formula>AND($C721&lt;&gt;"",ISBLANK(I721))</formula>
    </cfRule>
  </conditionalFormatting>
  <conditionalFormatting sqref="O721">
    <cfRule type="expression" dxfId="0" priority="809">
      <formula>AND($C721&lt;&gt;"",ISBLANK(O721))</formula>
    </cfRule>
  </conditionalFormatting>
  <conditionalFormatting sqref="P721">
    <cfRule type="expression" dxfId="0" priority="810">
      <formula>AND($C721&lt;&gt;"",ISBLANK(P721))</formula>
    </cfRule>
  </conditionalFormatting>
  <conditionalFormatting sqref="S721">
    <cfRule type="expression" dxfId="0" priority="811">
      <formula>AND($C721&lt;&gt;"",ISBLANK(S721))</formula>
    </cfRule>
  </conditionalFormatting>
  <conditionalFormatting sqref="V721">
    <cfRule type="expression" dxfId="0" priority="812">
      <formula>AND($C721&lt;&gt;"",ISBLANK(V721))</formula>
    </cfRule>
  </conditionalFormatting>
  <conditionalFormatting sqref="W721">
    <cfRule type="expression" dxfId="0" priority="813">
      <formula>AND($C721&lt;&gt;"",ISBLANK(W721))</formula>
    </cfRule>
  </conditionalFormatting>
  <conditionalFormatting sqref="X721">
    <cfRule type="expression" dxfId="0" priority="814">
      <formula>AND($C721&lt;&gt;"",ISBLANK(X721))</formula>
    </cfRule>
  </conditionalFormatting>
  <conditionalFormatting sqref="Y721">
    <cfRule type="expression" dxfId="0" priority="808">
      <formula>AND($C721&lt;&gt;"",ISBLANK(Y721))</formula>
    </cfRule>
  </conditionalFormatting>
  <conditionalFormatting sqref="Z721">
    <cfRule type="expression" dxfId="0" priority="815">
      <formula>AND($C721&lt;&gt;"",ISBLANK(Z721))</formula>
    </cfRule>
  </conditionalFormatting>
  <conditionalFormatting sqref="AA721">
    <cfRule type="expression" dxfId="0" priority="806">
      <formula>AND($C721&lt;&gt;"",ISBLANK(AA721))</formula>
    </cfRule>
  </conditionalFormatting>
  <conditionalFormatting sqref="AB721">
    <cfRule type="expression" dxfId="0" priority="807">
      <formula>AND($C721&lt;&gt;"",ISBLANK(AB721))</formula>
    </cfRule>
  </conditionalFormatting>
  <conditionalFormatting sqref="AC721">
    <cfRule type="expression" dxfId="0" priority="804">
      <formula>AND($C721&lt;&gt;"",ISBLANK(AC721))</formula>
    </cfRule>
  </conditionalFormatting>
  <conditionalFormatting sqref="AD721">
    <cfRule type="expression" dxfId="0" priority="803">
      <formula>AND($C721&lt;&gt;"",ISBLANK(AD721))</formula>
    </cfRule>
  </conditionalFormatting>
  <conditionalFormatting sqref="AE721">
    <cfRule type="expression" dxfId="0" priority="805">
      <formula>AND($C721&lt;&gt;"",ISBLANK(AE721))</formula>
    </cfRule>
  </conditionalFormatting>
  <conditionalFormatting sqref="G722">
    <cfRule type="expression" dxfId="0" priority="217">
      <formula>AND($C722&lt;&gt;"",ISBLANK(G722))</formula>
    </cfRule>
  </conditionalFormatting>
  <conditionalFormatting sqref="H722">
    <cfRule type="expression" dxfId="0" priority="871">
      <formula>AND($C722&lt;&gt;"",ISBLANK(H722))</formula>
    </cfRule>
  </conditionalFormatting>
  <conditionalFormatting sqref="I722">
    <cfRule type="expression" dxfId="0" priority="872">
      <formula>AND($C722&lt;&gt;"",ISBLANK(I722))</formula>
    </cfRule>
  </conditionalFormatting>
  <conditionalFormatting sqref="O722">
    <cfRule type="expression" dxfId="0" priority="796">
      <formula>AND($C722&lt;&gt;"",ISBLANK(O722))</formula>
    </cfRule>
  </conditionalFormatting>
  <conditionalFormatting sqref="P722">
    <cfRule type="expression" dxfId="0" priority="797">
      <formula>AND($C722&lt;&gt;"",ISBLANK(P722))</formula>
    </cfRule>
  </conditionalFormatting>
  <conditionalFormatting sqref="S722">
    <cfRule type="expression" dxfId="0" priority="798">
      <formula>AND($C722&lt;&gt;"",ISBLANK(S722))</formula>
    </cfRule>
  </conditionalFormatting>
  <conditionalFormatting sqref="V722">
    <cfRule type="expression" dxfId="0" priority="799">
      <formula>AND($C722&lt;&gt;"",ISBLANK(V722))</formula>
    </cfRule>
  </conditionalFormatting>
  <conditionalFormatting sqref="W722">
    <cfRule type="expression" dxfId="0" priority="800">
      <formula>AND($C722&lt;&gt;"",ISBLANK(W722))</formula>
    </cfRule>
  </conditionalFormatting>
  <conditionalFormatting sqref="X722">
    <cfRule type="expression" dxfId="0" priority="801">
      <formula>AND($C722&lt;&gt;"",ISBLANK(X722))</formula>
    </cfRule>
  </conditionalFormatting>
  <conditionalFormatting sqref="Y722">
    <cfRule type="expression" dxfId="0" priority="795">
      <formula>AND($C722&lt;&gt;"",ISBLANK(Y722))</formula>
    </cfRule>
  </conditionalFormatting>
  <conditionalFormatting sqref="Z722">
    <cfRule type="expression" dxfId="0" priority="802">
      <formula>AND($C722&lt;&gt;"",ISBLANK(Z722))</formula>
    </cfRule>
  </conditionalFormatting>
  <conditionalFormatting sqref="AA722">
    <cfRule type="expression" dxfId="0" priority="793">
      <formula>AND($C722&lt;&gt;"",ISBLANK(AA722))</formula>
    </cfRule>
  </conditionalFormatting>
  <conditionalFormatting sqref="AB722">
    <cfRule type="expression" dxfId="0" priority="794">
      <formula>AND($C722&lt;&gt;"",ISBLANK(AB722))</formula>
    </cfRule>
  </conditionalFormatting>
  <conditionalFormatting sqref="AC722">
    <cfRule type="expression" dxfId="0" priority="791">
      <formula>AND($C722&lt;&gt;"",ISBLANK(AC722))</formula>
    </cfRule>
  </conditionalFormatting>
  <conditionalFormatting sqref="AD722">
    <cfRule type="expression" dxfId="0" priority="790">
      <formula>AND($C722&lt;&gt;"",ISBLANK(AD722))</formula>
    </cfRule>
  </conditionalFormatting>
  <conditionalFormatting sqref="AE722">
    <cfRule type="expression" dxfId="0" priority="792">
      <formula>AND($C722&lt;&gt;"",ISBLANK(AE722))</formula>
    </cfRule>
  </conditionalFormatting>
  <conditionalFormatting sqref="G723">
    <cfRule type="expression" dxfId="0" priority="216">
      <formula>AND($C723&lt;&gt;"",ISBLANK(G723))</formula>
    </cfRule>
  </conditionalFormatting>
  <conditionalFormatting sqref="H723">
    <cfRule type="expression" dxfId="0" priority="869">
      <formula>AND($C723&lt;&gt;"",ISBLANK(H723))</formula>
    </cfRule>
  </conditionalFormatting>
  <conditionalFormatting sqref="I723">
    <cfRule type="expression" dxfId="0" priority="870">
      <formula>AND($C723&lt;&gt;"",ISBLANK(I723))</formula>
    </cfRule>
  </conditionalFormatting>
  <conditionalFormatting sqref="O723">
    <cfRule type="expression" dxfId="0" priority="783">
      <formula>AND($C723&lt;&gt;"",ISBLANK(O723))</formula>
    </cfRule>
  </conditionalFormatting>
  <conditionalFormatting sqref="P723">
    <cfRule type="expression" dxfId="0" priority="784">
      <formula>AND($C723&lt;&gt;"",ISBLANK(P723))</formula>
    </cfRule>
  </conditionalFormatting>
  <conditionalFormatting sqref="S723">
    <cfRule type="expression" dxfId="0" priority="785">
      <formula>AND($C723&lt;&gt;"",ISBLANK(S723))</formula>
    </cfRule>
  </conditionalFormatting>
  <conditionalFormatting sqref="V723">
    <cfRule type="expression" dxfId="0" priority="786">
      <formula>AND($C723&lt;&gt;"",ISBLANK(V723))</formula>
    </cfRule>
  </conditionalFormatting>
  <conditionalFormatting sqref="W723">
    <cfRule type="expression" dxfId="0" priority="787">
      <formula>AND($C723&lt;&gt;"",ISBLANK(W723))</formula>
    </cfRule>
  </conditionalFormatting>
  <conditionalFormatting sqref="X723">
    <cfRule type="expression" dxfId="0" priority="788">
      <formula>AND($C723&lt;&gt;"",ISBLANK(X723))</formula>
    </cfRule>
  </conditionalFormatting>
  <conditionalFormatting sqref="Y723">
    <cfRule type="expression" dxfId="0" priority="782">
      <formula>AND($C723&lt;&gt;"",ISBLANK(Y723))</formula>
    </cfRule>
  </conditionalFormatting>
  <conditionalFormatting sqref="Z723">
    <cfRule type="expression" dxfId="0" priority="789">
      <formula>AND($C723&lt;&gt;"",ISBLANK(Z723))</formula>
    </cfRule>
  </conditionalFormatting>
  <conditionalFormatting sqref="AA723">
    <cfRule type="expression" dxfId="0" priority="780">
      <formula>AND($C723&lt;&gt;"",ISBLANK(AA723))</formula>
    </cfRule>
  </conditionalFormatting>
  <conditionalFormatting sqref="AB723">
    <cfRule type="expression" dxfId="0" priority="781">
      <formula>AND($C723&lt;&gt;"",ISBLANK(AB723))</formula>
    </cfRule>
  </conditionalFormatting>
  <conditionalFormatting sqref="AC723">
    <cfRule type="expression" dxfId="0" priority="778">
      <formula>AND($C723&lt;&gt;"",ISBLANK(AC723))</formula>
    </cfRule>
  </conditionalFormatting>
  <conditionalFormatting sqref="AD723">
    <cfRule type="expression" dxfId="0" priority="777">
      <formula>AND($C723&lt;&gt;"",ISBLANK(AD723))</formula>
    </cfRule>
  </conditionalFormatting>
  <conditionalFormatting sqref="AE723">
    <cfRule type="expression" dxfId="0" priority="779">
      <formula>AND($C723&lt;&gt;"",ISBLANK(AE723))</formula>
    </cfRule>
  </conditionalFormatting>
  <conditionalFormatting sqref="G724">
    <cfRule type="expression" dxfId="0" priority="215">
      <formula>AND($C724&lt;&gt;"",ISBLANK(G724))</formula>
    </cfRule>
  </conditionalFormatting>
  <conditionalFormatting sqref="H724">
    <cfRule type="expression" dxfId="0" priority="867">
      <formula>AND($C724&lt;&gt;"",ISBLANK(H724))</formula>
    </cfRule>
  </conditionalFormatting>
  <conditionalFormatting sqref="I724">
    <cfRule type="expression" dxfId="0" priority="868">
      <formula>AND($C724&lt;&gt;"",ISBLANK(I724))</formula>
    </cfRule>
  </conditionalFormatting>
  <conditionalFormatting sqref="O724">
    <cfRule type="expression" dxfId="0" priority="770">
      <formula>AND($C724&lt;&gt;"",ISBLANK(O724))</formula>
    </cfRule>
  </conditionalFormatting>
  <conditionalFormatting sqref="P724">
    <cfRule type="expression" dxfId="0" priority="771">
      <formula>AND($C724&lt;&gt;"",ISBLANK(P724))</formula>
    </cfRule>
  </conditionalFormatting>
  <conditionalFormatting sqref="S724">
    <cfRule type="expression" dxfId="0" priority="772">
      <formula>AND($C724&lt;&gt;"",ISBLANK(S724))</formula>
    </cfRule>
  </conditionalFormatting>
  <conditionalFormatting sqref="V724">
    <cfRule type="expression" dxfId="0" priority="773">
      <formula>AND($C724&lt;&gt;"",ISBLANK(V724))</formula>
    </cfRule>
  </conditionalFormatting>
  <conditionalFormatting sqref="W724">
    <cfRule type="expression" dxfId="0" priority="774">
      <formula>AND($C724&lt;&gt;"",ISBLANK(W724))</formula>
    </cfRule>
  </conditionalFormatting>
  <conditionalFormatting sqref="X724">
    <cfRule type="expression" dxfId="0" priority="775">
      <formula>AND($C724&lt;&gt;"",ISBLANK(X724))</formula>
    </cfRule>
  </conditionalFormatting>
  <conditionalFormatting sqref="Y724">
    <cfRule type="expression" dxfId="0" priority="769">
      <formula>AND($C724&lt;&gt;"",ISBLANK(Y724))</formula>
    </cfRule>
  </conditionalFormatting>
  <conditionalFormatting sqref="Z724">
    <cfRule type="expression" dxfId="0" priority="776">
      <formula>AND($C724&lt;&gt;"",ISBLANK(Z724))</formula>
    </cfRule>
  </conditionalFormatting>
  <conditionalFormatting sqref="AA724">
    <cfRule type="expression" dxfId="0" priority="767">
      <formula>AND($C724&lt;&gt;"",ISBLANK(AA724))</formula>
    </cfRule>
  </conditionalFormatting>
  <conditionalFormatting sqref="AB724">
    <cfRule type="expression" dxfId="0" priority="768">
      <formula>AND($C724&lt;&gt;"",ISBLANK(AB724))</formula>
    </cfRule>
  </conditionalFormatting>
  <conditionalFormatting sqref="AC724">
    <cfRule type="expression" dxfId="0" priority="765">
      <formula>AND($C724&lt;&gt;"",ISBLANK(AC724))</formula>
    </cfRule>
  </conditionalFormatting>
  <conditionalFormatting sqref="AD724">
    <cfRule type="expression" dxfId="0" priority="764">
      <formula>AND($C724&lt;&gt;"",ISBLANK(AD724))</formula>
    </cfRule>
  </conditionalFormatting>
  <conditionalFormatting sqref="AE724">
    <cfRule type="expression" dxfId="0" priority="766">
      <formula>AND($C724&lt;&gt;"",ISBLANK(AE724))</formula>
    </cfRule>
  </conditionalFormatting>
  <conditionalFormatting sqref="G725">
    <cfRule type="expression" dxfId="0" priority="214">
      <formula>AND($C725&lt;&gt;"",ISBLANK(G725))</formula>
    </cfRule>
  </conditionalFormatting>
  <conditionalFormatting sqref="H725">
    <cfRule type="expression" dxfId="0" priority="866">
      <formula>AND($C725&lt;&gt;"",ISBLANK(H725))</formula>
    </cfRule>
  </conditionalFormatting>
  <conditionalFormatting sqref="I725">
    <cfRule type="expression" dxfId="0" priority="865">
      <formula>AND($C725&lt;&gt;"",ISBLANK(I725))</formula>
    </cfRule>
  </conditionalFormatting>
  <conditionalFormatting sqref="O725">
    <cfRule type="expression" dxfId="0" priority="757">
      <formula>AND($C725&lt;&gt;"",ISBLANK(O725))</formula>
    </cfRule>
  </conditionalFormatting>
  <conditionalFormatting sqref="P725">
    <cfRule type="expression" dxfId="0" priority="758">
      <formula>AND($C725&lt;&gt;"",ISBLANK(P725))</formula>
    </cfRule>
  </conditionalFormatting>
  <conditionalFormatting sqref="S725">
    <cfRule type="expression" dxfId="0" priority="759">
      <formula>AND($C725&lt;&gt;"",ISBLANK(S725))</formula>
    </cfRule>
  </conditionalFormatting>
  <conditionalFormatting sqref="V725">
    <cfRule type="expression" dxfId="0" priority="760">
      <formula>AND($C725&lt;&gt;"",ISBLANK(V725))</formula>
    </cfRule>
  </conditionalFormatting>
  <conditionalFormatting sqref="W725">
    <cfRule type="expression" dxfId="0" priority="761">
      <formula>AND($C725&lt;&gt;"",ISBLANK(W725))</formula>
    </cfRule>
  </conditionalFormatting>
  <conditionalFormatting sqref="X725">
    <cfRule type="expression" dxfId="0" priority="762">
      <formula>AND($C725&lt;&gt;"",ISBLANK(X725))</formula>
    </cfRule>
  </conditionalFormatting>
  <conditionalFormatting sqref="Y725">
    <cfRule type="expression" dxfId="0" priority="756">
      <formula>AND($C725&lt;&gt;"",ISBLANK(Y725))</formula>
    </cfRule>
  </conditionalFormatting>
  <conditionalFormatting sqref="Z725">
    <cfRule type="expression" dxfId="0" priority="763">
      <formula>AND($C725&lt;&gt;"",ISBLANK(Z725))</formula>
    </cfRule>
  </conditionalFormatting>
  <conditionalFormatting sqref="AA725">
    <cfRule type="expression" dxfId="0" priority="754">
      <formula>AND($C725&lt;&gt;"",ISBLANK(AA725))</formula>
    </cfRule>
  </conditionalFormatting>
  <conditionalFormatting sqref="AB725">
    <cfRule type="expression" dxfId="0" priority="755">
      <formula>AND($C725&lt;&gt;"",ISBLANK(AB725))</formula>
    </cfRule>
  </conditionalFormatting>
  <conditionalFormatting sqref="AC725">
    <cfRule type="expression" dxfId="0" priority="752">
      <formula>AND($C725&lt;&gt;"",ISBLANK(AC725))</formula>
    </cfRule>
  </conditionalFormatting>
  <conditionalFormatting sqref="AD725">
    <cfRule type="expression" dxfId="0" priority="751">
      <formula>AND($C725&lt;&gt;"",ISBLANK(AD725))</formula>
    </cfRule>
  </conditionalFormatting>
  <conditionalFormatting sqref="AE725">
    <cfRule type="expression" dxfId="0" priority="753">
      <formula>AND($C725&lt;&gt;"",ISBLANK(AE725))</formula>
    </cfRule>
  </conditionalFormatting>
  <conditionalFormatting sqref="C726">
    <cfRule type="expression" dxfId="0" priority="720">
      <formula>AND($C726&lt;&gt;"",ISBLANK(C726))</formula>
    </cfRule>
  </conditionalFormatting>
  <conditionalFormatting sqref="D726">
    <cfRule type="expression" dxfId="0" priority="721">
      <formula>AND($C726&lt;&gt;"",ISBLANK(D726))</formula>
    </cfRule>
  </conditionalFormatting>
  <conditionalFormatting sqref="G726">
    <cfRule type="expression" dxfId="0" priority="211">
      <formula>AND($C726&lt;&gt;"",ISBLANK(G726))</formula>
    </cfRule>
  </conditionalFormatting>
  <conditionalFormatting sqref="H726">
    <cfRule type="expression" dxfId="0" priority="715">
      <formula>AND($C726&lt;&gt;"",ISBLANK(H726))</formula>
    </cfRule>
  </conditionalFormatting>
  <conditionalFormatting sqref="I726">
    <cfRule type="expression" dxfId="0" priority="714">
      <formula>AND($C726&lt;&gt;"",ISBLANK(I726))</formula>
    </cfRule>
  </conditionalFormatting>
  <conditionalFormatting sqref="O726">
    <cfRule type="expression" dxfId="0" priority="681">
      <formula>AND($C726&lt;&gt;"",ISBLANK(O726))</formula>
    </cfRule>
  </conditionalFormatting>
  <conditionalFormatting sqref="P726">
    <cfRule type="expression" dxfId="0" priority="682">
      <formula>AND($C726&lt;&gt;"",ISBLANK(P726))</formula>
    </cfRule>
  </conditionalFormatting>
  <conditionalFormatting sqref="S726">
    <cfRule type="expression" dxfId="0" priority="683">
      <formula>AND($C726&lt;&gt;"",ISBLANK(S726))</formula>
    </cfRule>
  </conditionalFormatting>
  <conditionalFormatting sqref="V726">
    <cfRule type="expression" dxfId="0" priority="684">
      <formula>AND($C726&lt;&gt;"",ISBLANK(V726))</formula>
    </cfRule>
  </conditionalFormatting>
  <conditionalFormatting sqref="W726">
    <cfRule type="expression" dxfId="0" priority="685">
      <formula>AND($C726&lt;&gt;"",ISBLANK(W726))</formula>
    </cfRule>
  </conditionalFormatting>
  <conditionalFormatting sqref="X726">
    <cfRule type="expression" dxfId="0" priority="686">
      <formula>AND($C726&lt;&gt;"",ISBLANK(X726))</formula>
    </cfRule>
  </conditionalFormatting>
  <conditionalFormatting sqref="Y726">
    <cfRule type="expression" dxfId="0" priority="680">
      <formula>AND($C726&lt;&gt;"",ISBLANK(Y726))</formula>
    </cfRule>
  </conditionalFormatting>
  <conditionalFormatting sqref="Z726">
    <cfRule type="expression" dxfId="0" priority="687">
      <formula>AND($C726&lt;&gt;"",ISBLANK(Z726))</formula>
    </cfRule>
  </conditionalFormatting>
  <conditionalFormatting sqref="AA726">
    <cfRule type="expression" dxfId="0" priority="679">
      <formula>AND($C726&lt;&gt;"",ISBLANK(AA726))</formula>
    </cfRule>
  </conditionalFormatting>
  <conditionalFormatting sqref="AC726">
    <cfRule type="expression" dxfId="0" priority="677">
      <formula>AND($C726&lt;&gt;"",ISBLANK(AC726))</formula>
    </cfRule>
  </conditionalFormatting>
  <conditionalFormatting sqref="AD726">
    <cfRule type="expression" dxfId="0" priority="676">
      <formula>AND($C726&lt;&gt;"",ISBLANK(AD726))</formula>
    </cfRule>
  </conditionalFormatting>
  <conditionalFormatting sqref="AE726">
    <cfRule type="expression" dxfId="0" priority="678">
      <formula>AND($C726&lt;&gt;"",ISBLANK(AE726))</formula>
    </cfRule>
  </conditionalFormatting>
  <conditionalFormatting sqref="G727">
    <cfRule type="expression" dxfId="0" priority="212">
      <formula>AND($C727&lt;&gt;"",ISBLANK(G727))</formula>
    </cfRule>
  </conditionalFormatting>
  <conditionalFormatting sqref="H727">
    <cfRule type="expression" dxfId="0" priority="716">
      <formula>AND($C727&lt;&gt;"",ISBLANK(H727))</formula>
    </cfRule>
  </conditionalFormatting>
  <conditionalFormatting sqref="I727">
    <cfRule type="expression" dxfId="0" priority="717">
      <formula>AND($C727&lt;&gt;"",ISBLANK(I727))</formula>
    </cfRule>
  </conditionalFormatting>
  <conditionalFormatting sqref="O727">
    <cfRule type="expression" dxfId="0" priority="693">
      <formula>AND($C727&lt;&gt;"",ISBLANK(O727))</formula>
    </cfRule>
  </conditionalFormatting>
  <conditionalFormatting sqref="P727">
    <cfRule type="expression" dxfId="0" priority="694">
      <formula>AND($C727&lt;&gt;"",ISBLANK(P727))</formula>
    </cfRule>
  </conditionalFormatting>
  <conditionalFormatting sqref="S727">
    <cfRule type="expression" dxfId="0" priority="695">
      <formula>AND($C727&lt;&gt;"",ISBLANK(S727))</formula>
    </cfRule>
  </conditionalFormatting>
  <conditionalFormatting sqref="V727">
    <cfRule type="expression" dxfId="0" priority="696">
      <formula>AND($C727&lt;&gt;"",ISBLANK(V727))</formula>
    </cfRule>
  </conditionalFormatting>
  <conditionalFormatting sqref="W727">
    <cfRule type="expression" dxfId="0" priority="697">
      <formula>AND($C727&lt;&gt;"",ISBLANK(W727))</formula>
    </cfRule>
  </conditionalFormatting>
  <conditionalFormatting sqref="X727">
    <cfRule type="expression" dxfId="0" priority="698">
      <formula>AND($C727&lt;&gt;"",ISBLANK(X727))</formula>
    </cfRule>
  </conditionalFormatting>
  <conditionalFormatting sqref="Y727">
    <cfRule type="expression" dxfId="0" priority="692">
      <formula>AND($C727&lt;&gt;"",ISBLANK(Y727))</formula>
    </cfRule>
  </conditionalFormatting>
  <conditionalFormatting sqref="Z727">
    <cfRule type="expression" dxfId="0" priority="699">
      <formula>AND($C727&lt;&gt;"",ISBLANK(Z727))</formula>
    </cfRule>
  </conditionalFormatting>
  <conditionalFormatting sqref="AA727">
    <cfRule type="expression" dxfId="0" priority="689">
      <formula>AND($C727&lt;&gt;"",ISBLANK(AA727))</formula>
    </cfRule>
  </conditionalFormatting>
  <conditionalFormatting sqref="AC727">
    <cfRule type="expression" dxfId="0" priority="691">
      <formula>AND($C727&lt;&gt;"",ISBLANK(AC727))</formula>
    </cfRule>
  </conditionalFormatting>
  <conditionalFormatting sqref="G728">
    <cfRule type="expression" dxfId="0" priority="210">
      <formula>AND($C728&lt;&gt;"",ISBLANK(G728))</formula>
    </cfRule>
  </conditionalFormatting>
  <conditionalFormatting sqref="H728">
    <cfRule type="expression" dxfId="0" priority="712">
      <formula>AND($C728&lt;&gt;"",ISBLANK(H728))</formula>
    </cfRule>
  </conditionalFormatting>
  <conditionalFormatting sqref="I728">
    <cfRule type="expression" dxfId="0" priority="713">
      <formula>AND($C728&lt;&gt;"",ISBLANK(I728))</formula>
    </cfRule>
  </conditionalFormatting>
  <conditionalFormatting sqref="O728">
    <cfRule type="expression" dxfId="0" priority="669">
      <formula>AND($C728&lt;&gt;"",ISBLANK(O728))</formula>
    </cfRule>
  </conditionalFormatting>
  <conditionalFormatting sqref="P728">
    <cfRule type="expression" dxfId="0" priority="670">
      <formula>AND($C728&lt;&gt;"",ISBLANK(P728))</formula>
    </cfRule>
  </conditionalFormatting>
  <conditionalFormatting sqref="S728">
    <cfRule type="expression" dxfId="0" priority="671">
      <formula>AND($C728&lt;&gt;"",ISBLANK(S728))</formula>
    </cfRule>
  </conditionalFormatting>
  <conditionalFormatting sqref="V728">
    <cfRule type="expression" dxfId="0" priority="672">
      <formula>AND($C728&lt;&gt;"",ISBLANK(V728))</formula>
    </cfRule>
  </conditionalFormatting>
  <conditionalFormatting sqref="W728">
    <cfRule type="expression" dxfId="0" priority="673">
      <formula>AND($C728&lt;&gt;"",ISBLANK(W728))</formula>
    </cfRule>
  </conditionalFormatting>
  <conditionalFormatting sqref="X728">
    <cfRule type="expression" dxfId="0" priority="674">
      <formula>AND($C728&lt;&gt;"",ISBLANK(X728))</formula>
    </cfRule>
  </conditionalFormatting>
  <conditionalFormatting sqref="Y728">
    <cfRule type="expression" dxfId="0" priority="668">
      <formula>AND($C728&lt;&gt;"",ISBLANK(Y728))</formula>
    </cfRule>
  </conditionalFormatting>
  <conditionalFormatting sqref="Z728">
    <cfRule type="expression" dxfId="0" priority="675">
      <formula>AND($C728&lt;&gt;"",ISBLANK(Z728))</formula>
    </cfRule>
  </conditionalFormatting>
  <conditionalFormatting sqref="AA728">
    <cfRule type="expression" dxfId="0" priority="667">
      <formula>AND($C728&lt;&gt;"",ISBLANK(AA728))</formula>
    </cfRule>
  </conditionalFormatting>
  <conditionalFormatting sqref="AC728">
    <cfRule type="expression" dxfId="0" priority="666">
      <formula>AND($C728&lt;&gt;"",ISBLANK(AC728))</formula>
    </cfRule>
  </conditionalFormatting>
  <conditionalFormatting sqref="G729">
    <cfRule type="expression" dxfId="0" priority="209">
      <formula>AND($C729&lt;&gt;"",ISBLANK(G729))</formula>
    </cfRule>
  </conditionalFormatting>
  <conditionalFormatting sqref="H729">
    <cfRule type="expression" dxfId="0" priority="710">
      <formula>AND($C729&lt;&gt;"",ISBLANK(H729))</formula>
    </cfRule>
  </conditionalFormatting>
  <conditionalFormatting sqref="I729">
    <cfRule type="expression" dxfId="0" priority="711">
      <formula>AND($C729&lt;&gt;"",ISBLANK(I729))</formula>
    </cfRule>
  </conditionalFormatting>
  <conditionalFormatting sqref="O729">
    <cfRule type="expression" dxfId="0" priority="659">
      <formula>AND($C729&lt;&gt;"",ISBLANK(O729))</formula>
    </cfRule>
  </conditionalFormatting>
  <conditionalFormatting sqref="P729">
    <cfRule type="expression" dxfId="0" priority="660">
      <formula>AND($C729&lt;&gt;"",ISBLANK(P729))</formula>
    </cfRule>
  </conditionalFormatting>
  <conditionalFormatting sqref="S729">
    <cfRule type="expression" dxfId="0" priority="661">
      <formula>AND($C729&lt;&gt;"",ISBLANK(S729))</formula>
    </cfRule>
  </conditionalFormatting>
  <conditionalFormatting sqref="V729">
    <cfRule type="expression" dxfId="0" priority="662">
      <formula>AND($C729&lt;&gt;"",ISBLANK(V729))</formula>
    </cfRule>
  </conditionalFormatting>
  <conditionalFormatting sqref="W729">
    <cfRule type="expression" dxfId="0" priority="663">
      <formula>AND($C729&lt;&gt;"",ISBLANK(W729))</formula>
    </cfRule>
  </conditionalFormatting>
  <conditionalFormatting sqref="X729">
    <cfRule type="expression" dxfId="0" priority="664">
      <formula>AND($C729&lt;&gt;"",ISBLANK(X729))</formula>
    </cfRule>
  </conditionalFormatting>
  <conditionalFormatting sqref="Y729">
    <cfRule type="expression" dxfId="0" priority="658">
      <formula>AND($C729&lt;&gt;"",ISBLANK(Y729))</formula>
    </cfRule>
  </conditionalFormatting>
  <conditionalFormatting sqref="Z729">
    <cfRule type="expression" dxfId="0" priority="665">
      <formula>AND($C729&lt;&gt;"",ISBLANK(Z729))</formula>
    </cfRule>
  </conditionalFormatting>
  <conditionalFormatting sqref="AA729">
    <cfRule type="expression" dxfId="0" priority="656">
      <formula>AND($C729&lt;&gt;"",ISBLANK(AA729))</formula>
    </cfRule>
  </conditionalFormatting>
  <conditionalFormatting sqref="AB729">
    <cfRule type="expression" dxfId="0" priority="657">
      <formula>AND($C729&lt;&gt;"",ISBLANK(AB729))</formula>
    </cfRule>
  </conditionalFormatting>
  <conditionalFormatting sqref="AC729">
    <cfRule type="expression" dxfId="0" priority="654">
      <formula>AND($C729&lt;&gt;"",ISBLANK(AC729))</formula>
    </cfRule>
  </conditionalFormatting>
  <conditionalFormatting sqref="AD729">
    <cfRule type="expression" dxfId="0" priority="653">
      <formula>AND($C729&lt;&gt;"",ISBLANK(AD729))</formula>
    </cfRule>
  </conditionalFormatting>
  <conditionalFormatting sqref="AE729">
    <cfRule type="expression" dxfId="0" priority="655">
      <formula>AND($C729&lt;&gt;"",ISBLANK(AE729))</formula>
    </cfRule>
  </conditionalFormatting>
  <conditionalFormatting sqref="G730">
    <cfRule type="expression" dxfId="0" priority="208">
      <formula>AND($C730&lt;&gt;"",ISBLANK(G730))</formula>
    </cfRule>
  </conditionalFormatting>
  <conditionalFormatting sqref="H730">
    <cfRule type="expression" dxfId="0" priority="708">
      <formula>AND($C730&lt;&gt;"",ISBLANK(H730))</formula>
    </cfRule>
  </conditionalFormatting>
  <conditionalFormatting sqref="I730">
    <cfRule type="expression" dxfId="0" priority="709">
      <formula>AND($C730&lt;&gt;"",ISBLANK(I730))</formula>
    </cfRule>
  </conditionalFormatting>
  <conditionalFormatting sqref="O730">
    <cfRule type="expression" dxfId="0" priority="646">
      <formula>AND($C730&lt;&gt;"",ISBLANK(O730))</formula>
    </cfRule>
  </conditionalFormatting>
  <conditionalFormatting sqref="P730">
    <cfRule type="expression" dxfId="0" priority="647">
      <formula>AND($C730&lt;&gt;"",ISBLANK(P730))</formula>
    </cfRule>
  </conditionalFormatting>
  <conditionalFormatting sqref="S730">
    <cfRule type="expression" dxfId="0" priority="648">
      <formula>AND($C730&lt;&gt;"",ISBLANK(S730))</formula>
    </cfRule>
  </conditionalFormatting>
  <conditionalFormatting sqref="V730">
    <cfRule type="expression" dxfId="0" priority="649">
      <formula>AND($C730&lt;&gt;"",ISBLANK(V730))</formula>
    </cfRule>
  </conditionalFormatting>
  <conditionalFormatting sqref="W730">
    <cfRule type="expression" dxfId="0" priority="650">
      <formula>AND($C730&lt;&gt;"",ISBLANK(W730))</formula>
    </cfRule>
  </conditionalFormatting>
  <conditionalFormatting sqref="X730">
    <cfRule type="expression" dxfId="0" priority="651">
      <formula>AND($C730&lt;&gt;"",ISBLANK(X730))</formula>
    </cfRule>
  </conditionalFormatting>
  <conditionalFormatting sqref="Y730">
    <cfRule type="expression" dxfId="0" priority="645">
      <formula>AND($C730&lt;&gt;"",ISBLANK(Y730))</formula>
    </cfRule>
  </conditionalFormatting>
  <conditionalFormatting sqref="Z730">
    <cfRule type="expression" dxfId="0" priority="652">
      <formula>AND($C730&lt;&gt;"",ISBLANK(Z730))</formula>
    </cfRule>
  </conditionalFormatting>
  <conditionalFormatting sqref="AA730">
    <cfRule type="expression" dxfId="0" priority="643">
      <formula>AND($C730&lt;&gt;"",ISBLANK(AA730))</formula>
    </cfRule>
  </conditionalFormatting>
  <conditionalFormatting sqref="AB730">
    <cfRule type="expression" dxfId="0" priority="644">
      <formula>AND($C730&lt;&gt;"",ISBLANK(AB730))</formula>
    </cfRule>
  </conditionalFormatting>
  <conditionalFormatting sqref="AC730">
    <cfRule type="expression" dxfId="0" priority="641">
      <formula>AND($C730&lt;&gt;"",ISBLANK(AC730))</formula>
    </cfRule>
  </conditionalFormatting>
  <conditionalFormatting sqref="AD730">
    <cfRule type="expression" dxfId="0" priority="640">
      <formula>AND($C730&lt;&gt;"",ISBLANK(AD730))</formula>
    </cfRule>
  </conditionalFormatting>
  <conditionalFormatting sqref="AE730">
    <cfRule type="expression" dxfId="0" priority="642">
      <formula>AND($C730&lt;&gt;"",ISBLANK(AE730))</formula>
    </cfRule>
  </conditionalFormatting>
  <conditionalFormatting sqref="G731">
    <cfRule type="expression" dxfId="0" priority="207">
      <formula>AND($C731&lt;&gt;"",ISBLANK(G731))</formula>
    </cfRule>
  </conditionalFormatting>
  <conditionalFormatting sqref="H731">
    <cfRule type="expression" dxfId="0" priority="706">
      <formula>AND($C731&lt;&gt;"",ISBLANK(H731))</formula>
    </cfRule>
  </conditionalFormatting>
  <conditionalFormatting sqref="I731">
    <cfRule type="expression" dxfId="0" priority="707">
      <formula>AND($C731&lt;&gt;"",ISBLANK(I731))</formula>
    </cfRule>
  </conditionalFormatting>
  <conditionalFormatting sqref="O731">
    <cfRule type="expression" dxfId="0" priority="633">
      <formula>AND($C731&lt;&gt;"",ISBLANK(O731))</formula>
    </cfRule>
  </conditionalFormatting>
  <conditionalFormatting sqref="P731">
    <cfRule type="expression" dxfId="0" priority="634">
      <formula>AND($C731&lt;&gt;"",ISBLANK(P731))</formula>
    </cfRule>
  </conditionalFormatting>
  <conditionalFormatting sqref="S731">
    <cfRule type="expression" dxfId="0" priority="635">
      <formula>AND($C731&lt;&gt;"",ISBLANK(S731))</formula>
    </cfRule>
  </conditionalFormatting>
  <conditionalFormatting sqref="V731">
    <cfRule type="expression" dxfId="0" priority="636">
      <formula>AND($C731&lt;&gt;"",ISBLANK(V731))</formula>
    </cfRule>
  </conditionalFormatting>
  <conditionalFormatting sqref="W731">
    <cfRule type="expression" dxfId="0" priority="637">
      <formula>AND($C731&lt;&gt;"",ISBLANK(W731))</formula>
    </cfRule>
  </conditionalFormatting>
  <conditionalFormatting sqref="X731">
    <cfRule type="expression" dxfId="0" priority="638">
      <formula>AND($C731&lt;&gt;"",ISBLANK(X731))</formula>
    </cfRule>
  </conditionalFormatting>
  <conditionalFormatting sqref="Y731">
    <cfRule type="expression" dxfId="0" priority="632">
      <formula>AND($C731&lt;&gt;"",ISBLANK(Y731))</formula>
    </cfRule>
  </conditionalFormatting>
  <conditionalFormatting sqref="Z731">
    <cfRule type="expression" dxfId="0" priority="639">
      <formula>AND($C731&lt;&gt;"",ISBLANK(Z731))</formula>
    </cfRule>
  </conditionalFormatting>
  <conditionalFormatting sqref="AA731">
    <cfRule type="expression" dxfId="0" priority="630">
      <formula>AND($C731&lt;&gt;"",ISBLANK(AA731))</formula>
    </cfRule>
  </conditionalFormatting>
  <conditionalFormatting sqref="AB731">
    <cfRule type="expression" dxfId="0" priority="631">
      <formula>AND($C731&lt;&gt;"",ISBLANK(AB731))</formula>
    </cfRule>
  </conditionalFormatting>
  <conditionalFormatting sqref="AC731">
    <cfRule type="expression" dxfId="0" priority="628">
      <formula>AND($C731&lt;&gt;"",ISBLANK(AC731))</formula>
    </cfRule>
  </conditionalFormatting>
  <conditionalFormatting sqref="AD731">
    <cfRule type="expression" dxfId="0" priority="627">
      <formula>AND($C731&lt;&gt;"",ISBLANK(AD731))</formula>
    </cfRule>
  </conditionalFormatting>
  <conditionalFormatting sqref="AE731">
    <cfRule type="expression" dxfId="0" priority="629">
      <formula>AND($C731&lt;&gt;"",ISBLANK(AE731))</formula>
    </cfRule>
  </conditionalFormatting>
  <conditionalFormatting sqref="G732">
    <cfRule type="expression" dxfId="0" priority="206">
      <formula>AND($C732&lt;&gt;"",ISBLANK(G732))</formula>
    </cfRule>
  </conditionalFormatting>
  <conditionalFormatting sqref="H732">
    <cfRule type="expression" dxfId="0" priority="704">
      <formula>AND($C732&lt;&gt;"",ISBLANK(H732))</formula>
    </cfRule>
  </conditionalFormatting>
  <conditionalFormatting sqref="I732">
    <cfRule type="expression" dxfId="0" priority="705">
      <formula>AND($C732&lt;&gt;"",ISBLANK(I732))</formula>
    </cfRule>
  </conditionalFormatting>
  <conditionalFormatting sqref="O732">
    <cfRule type="expression" dxfId="0" priority="620">
      <formula>AND($C732&lt;&gt;"",ISBLANK(O732))</formula>
    </cfRule>
  </conditionalFormatting>
  <conditionalFormatting sqref="P732">
    <cfRule type="expression" dxfId="0" priority="621">
      <formula>AND($C732&lt;&gt;"",ISBLANK(P732))</formula>
    </cfRule>
  </conditionalFormatting>
  <conditionalFormatting sqref="S732">
    <cfRule type="expression" dxfId="0" priority="622">
      <formula>AND($C732&lt;&gt;"",ISBLANK(S732))</formula>
    </cfRule>
  </conditionalFormatting>
  <conditionalFormatting sqref="V732">
    <cfRule type="expression" dxfId="0" priority="623">
      <formula>AND($C732&lt;&gt;"",ISBLANK(V732))</formula>
    </cfRule>
  </conditionalFormatting>
  <conditionalFormatting sqref="W732">
    <cfRule type="expression" dxfId="0" priority="624">
      <formula>AND($C732&lt;&gt;"",ISBLANK(W732))</formula>
    </cfRule>
  </conditionalFormatting>
  <conditionalFormatting sqref="X732">
    <cfRule type="expression" dxfId="0" priority="625">
      <formula>AND($C732&lt;&gt;"",ISBLANK(X732))</formula>
    </cfRule>
  </conditionalFormatting>
  <conditionalFormatting sqref="Y732">
    <cfRule type="expression" dxfId="0" priority="619">
      <formula>AND($C732&lt;&gt;"",ISBLANK(Y732))</formula>
    </cfRule>
  </conditionalFormatting>
  <conditionalFormatting sqref="Z732">
    <cfRule type="expression" dxfId="0" priority="626">
      <formula>AND($C732&lt;&gt;"",ISBLANK(Z732))</formula>
    </cfRule>
  </conditionalFormatting>
  <conditionalFormatting sqref="AA732">
    <cfRule type="expression" dxfId="0" priority="617">
      <formula>AND($C732&lt;&gt;"",ISBLANK(AA732))</formula>
    </cfRule>
  </conditionalFormatting>
  <conditionalFormatting sqref="AB732">
    <cfRule type="expression" dxfId="0" priority="618">
      <formula>AND($C732&lt;&gt;"",ISBLANK(AB732))</formula>
    </cfRule>
  </conditionalFormatting>
  <conditionalFormatting sqref="AC732">
    <cfRule type="expression" dxfId="0" priority="615">
      <formula>AND($C732&lt;&gt;"",ISBLANK(AC732))</formula>
    </cfRule>
  </conditionalFormatting>
  <conditionalFormatting sqref="AD732">
    <cfRule type="expression" dxfId="0" priority="614">
      <formula>AND($C732&lt;&gt;"",ISBLANK(AD732))</formula>
    </cfRule>
  </conditionalFormatting>
  <conditionalFormatting sqref="AE732">
    <cfRule type="expression" dxfId="0" priority="616">
      <formula>AND($C732&lt;&gt;"",ISBLANK(AE732))</formula>
    </cfRule>
  </conditionalFormatting>
  <conditionalFormatting sqref="G733">
    <cfRule type="expression" dxfId="0" priority="205">
      <formula>AND($C733&lt;&gt;"",ISBLANK(G733))</formula>
    </cfRule>
  </conditionalFormatting>
  <conditionalFormatting sqref="H733">
    <cfRule type="expression" dxfId="0" priority="703">
      <formula>AND($C733&lt;&gt;"",ISBLANK(H733))</formula>
    </cfRule>
  </conditionalFormatting>
  <conditionalFormatting sqref="I733">
    <cfRule type="expression" dxfId="0" priority="702">
      <formula>AND($C733&lt;&gt;"",ISBLANK(I733))</formula>
    </cfRule>
  </conditionalFormatting>
  <conditionalFormatting sqref="O733">
    <cfRule type="expression" dxfId="0" priority="607">
      <formula>AND($C733&lt;&gt;"",ISBLANK(O733))</formula>
    </cfRule>
  </conditionalFormatting>
  <conditionalFormatting sqref="P733">
    <cfRule type="expression" dxfId="0" priority="608">
      <formula>AND($C733&lt;&gt;"",ISBLANK(P733))</formula>
    </cfRule>
  </conditionalFormatting>
  <conditionalFormatting sqref="S733">
    <cfRule type="expression" dxfId="0" priority="609">
      <formula>AND($C733&lt;&gt;"",ISBLANK(S733))</formula>
    </cfRule>
  </conditionalFormatting>
  <conditionalFormatting sqref="V733">
    <cfRule type="expression" dxfId="0" priority="610">
      <formula>AND($C733&lt;&gt;"",ISBLANK(V733))</formula>
    </cfRule>
  </conditionalFormatting>
  <conditionalFormatting sqref="W733">
    <cfRule type="expression" dxfId="0" priority="611">
      <formula>AND($C733&lt;&gt;"",ISBLANK(W733))</formula>
    </cfRule>
  </conditionalFormatting>
  <conditionalFormatting sqref="X733">
    <cfRule type="expression" dxfId="0" priority="612">
      <formula>AND($C733&lt;&gt;"",ISBLANK(X733))</formula>
    </cfRule>
  </conditionalFormatting>
  <conditionalFormatting sqref="Y733">
    <cfRule type="expression" dxfId="0" priority="606">
      <formula>AND($C733&lt;&gt;"",ISBLANK(Y733))</formula>
    </cfRule>
  </conditionalFormatting>
  <conditionalFormatting sqref="Z733">
    <cfRule type="expression" dxfId="0" priority="613">
      <formula>AND($C733&lt;&gt;"",ISBLANK(Z733))</formula>
    </cfRule>
  </conditionalFormatting>
  <conditionalFormatting sqref="AA733">
    <cfRule type="expression" dxfId="0" priority="604">
      <formula>AND($C733&lt;&gt;"",ISBLANK(AA733))</formula>
    </cfRule>
  </conditionalFormatting>
  <conditionalFormatting sqref="AB733">
    <cfRule type="expression" dxfId="0" priority="605">
      <formula>AND($C733&lt;&gt;"",ISBLANK(AB733))</formula>
    </cfRule>
  </conditionalFormatting>
  <conditionalFormatting sqref="AC733">
    <cfRule type="expression" dxfId="0" priority="602">
      <formula>AND($C733&lt;&gt;"",ISBLANK(AC733))</formula>
    </cfRule>
  </conditionalFormatting>
  <conditionalFormatting sqref="AD733">
    <cfRule type="expression" dxfId="0" priority="601">
      <formula>AND($C733&lt;&gt;"",ISBLANK(AD733))</formula>
    </cfRule>
  </conditionalFormatting>
  <conditionalFormatting sqref="AE733">
    <cfRule type="expression" dxfId="0" priority="603">
      <formula>AND($C733&lt;&gt;"",ISBLANK(AE733))</formula>
    </cfRule>
  </conditionalFormatting>
  <conditionalFormatting sqref="C734">
    <cfRule type="expression" dxfId="0" priority="594">
      <formula>AND($C734&lt;&gt;"",ISBLANK(C734))</formula>
    </cfRule>
  </conditionalFormatting>
  <conditionalFormatting sqref="D734">
    <cfRule type="expression" dxfId="0" priority="595">
      <formula>AND($C734&lt;&gt;"",ISBLANK(D734))</formula>
    </cfRule>
  </conditionalFormatting>
  <conditionalFormatting sqref="G734">
    <cfRule type="expression" dxfId="0" priority="203">
      <formula>AND($C734&lt;&gt;"",ISBLANK(G734))</formula>
    </cfRule>
  </conditionalFormatting>
  <conditionalFormatting sqref="H734">
    <cfRule type="expression" dxfId="0" priority="589">
      <formula>AND($C734&lt;&gt;"",ISBLANK(H734))</formula>
    </cfRule>
  </conditionalFormatting>
  <conditionalFormatting sqref="I734">
    <cfRule type="expression" dxfId="0" priority="588">
      <formula>AND($C734&lt;&gt;"",ISBLANK(I734))</formula>
    </cfRule>
  </conditionalFormatting>
  <conditionalFormatting sqref="O734">
    <cfRule type="expression" dxfId="0" priority="555">
      <formula>AND($C734&lt;&gt;"",ISBLANK(O734))</formula>
    </cfRule>
  </conditionalFormatting>
  <conditionalFormatting sqref="P734">
    <cfRule type="expression" dxfId="0" priority="556">
      <formula>AND($C734&lt;&gt;"",ISBLANK(P734))</formula>
    </cfRule>
  </conditionalFormatting>
  <conditionalFormatting sqref="S734">
    <cfRule type="expression" dxfId="0" priority="557">
      <formula>AND($C734&lt;&gt;"",ISBLANK(S734))</formula>
    </cfRule>
  </conditionalFormatting>
  <conditionalFormatting sqref="V734">
    <cfRule type="expression" dxfId="0" priority="558">
      <formula>AND($C734&lt;&gt;"",ISBLANK(V734))</formula>
    </cfRule>
  </conditionalFormatting>
  <conditionalFormatting sqref="W734">
    <cfRule type="expression" dxfId="0" priority="559">
      <formula>AND($C734&lt;&gt;"",ISBLANK(W734))</formula>
    </cfRule>
  </conditionalFormatting>
  <conditionalFormatting sqref="X734">
    <cfRule type="expression" dxfId="0" priority="560">
      <formula>AND($C734&lt;&gt;"",ISBLANK(X734))</formula>
    </cfRule>
  </conditionalFormatting>
  <conditionalFormatting sqref="Y734">
    <cfRule type="expression" dxfId="0" priority="554">
      <formula>AND($C734&lt;&gt;"",ISBLANK(Y734))</formula>
    </cfRule>
  </conditionalFormatting>
  <conditionalFormatting sqref="Z734">
    <cfRule type="expression" dxfId="0" priority="561">
      <formula>AND($C734&lt;&gt;"",ISBLANK(Z734))</formula>
    </cfRule>
  </conditionalFormatting>
  <conditionalFormatting sqref="AA734">
    <cfRule type="expression" dxfId="0" priority="553">
      <formula>AND($C734&lt;&gt;"",ISBLANK(AA734))</formula>
    </cfRule>
  </conditionalFormatting>
  <conditionalFormatting sqref="AC734">
    <cfRule type="expression" dxfId="0" priority="551">
      <formula>AND($C734&lt;&gt;"",ISBLANK(AC734))</formula>
    </cfRule>
  </conditionalFormatting>
  <conditionalFormatting sqref="AD734">
    <cfRule type="expression" dxfId="0" priority="550">
      <formula>AND($C734&lt;&gt;"",ISBLANK(AD734))</formula>
    </cfRule>
  </conditionalFormatting>
  <conditionalFormatting sqref="AE734">
    <cfRule type="expression" dxfId="0" priority="552">
      <formula>AND($C734&lt;&gt;"",ISBLANK(AE734))</formula>
    </cfRule>
  </conditionalFormatting>
  <conditionalFormatting sqref="G735">
    <cfRule type="expression" dxfId="0" priority="204">
      <formula>AND($C735&lt;&gt;"",ISBLANK(G735))</formula>
    </cfRule>
  </conditionalFormatting>
  <conditionalFormatting sqref="H735">
    <cfRule type="expression" dxfId="0" priority="590">
      <formula>AND($C735&lt;&gt;"",ISBLANK(H735))</formula>
    </cfRule>
  </conditionalFormatting>
  <conditionalFormatting sqref="I735">
    <cfRule type="expression" dxfId="0" priority="591">
      <formula>AND($C735&lt;&gt;"",ISBLANK(I735))</formula>
    </cfRule>
  </conditionalFormatting>
  <conditionalFormatting sqref="O735">
    <cfRule type="expression" dxfId="0" priority="567">
      <formula>AND($C735&lt;&gt;"",ISBLANK(O735))</formula>
    </cfRule>
  </conditionalFormatting>
  <conditionalFormatting sqref="P735">
    <cfRule type="expression" dxfId="0" priority="568">
      <formula>AND($C735&lt;&gt;"",ISBLANK(P735))</formula>
    </cfRule>
  </conditionalFormatting>
  <conditionalFormatting sqref="S735">
    <cfRule type="expression" dxfId="0" priority="569">
      <formula>AND($C735&lt;&gt;"",ISBLANK(S735))</formula>
    </cfRule>
  </conditionalFormatting>
  <conditionalFormatting sqref="V735">
    <cfRule type="expression" dxfId="0" priority="570">
      <formula>AND($C735&lt;&gt;"",ISBLANK(V735))</formula>
    </cfRule>
  </conditionalFormatting>
  <conditionalFormatting sqref="W735">
    <cfRule type="expression" dxfId="0" priority="571">
      <formula>AND($C735&lt;&gt;"",ISBLANK(W735))</formula>
    </cfRule>
  </conditionalFormatting>
  <conditionalFormatting sqref="X735">
    <cfRule type="expression" dxfId="0" priority="572">
      <formula>AND($C735&lt;&gt;"",ISBLANK(X735))</formula>
    </cfRule>
  </conditionalFormatting>
  <conditionalFormatting sqref="Y735">
    <cfRule type="expression" dxfId="0" priority="566">
      <formula>AND($C735&lt;&gt;"",ISBLANK(Y735))</formula>
    </cfRule>
  </conditionalFormatting>
  <conditionalFormatting sqref="Z735">
    <cfRule type="expression" dxfId="0" priority="573">
      <formula>AND($C735&lt;&gt;"",ISBLANK(Z735))</formula>
    </cfRule>
  </conditionalFormatting>
  <conditionalFormatting sqref="AA735">
    <cfRule type="expression" dxfId="0" priority="563">
      <formula>AND($C735&lt;&gt;"",ISBLANK(AA735))</formula>
    </cfRule>
  </conditionalFormatting>
  <conditionalFormatting sqref="AC735">
    <cfRule type="expression" dxfId="0" priority="565">
      <formula>AND($C735&lt;&gt;"",ISBLANK(AC735))</formula>
    </cfRule>
  </conditionalFormatting>
  <conditionalFormatting sqref="B736">
    <cfRule type="expression" dxfId="0" priority="599">
      <formula>AND($C736&lt;&gt;"",ISBLANK(B736))</formula>
    </cfRule>
  </conditionalFormatting>
  <conditionalFormatting sqref="G736">
    <cfRule type="expression" dxfId="0" priority="202">
      <formula>AND($C736&lt;&gt;"",ISBLANK(G736))</formula>
    </cfRule>
  </conditionalFormatting>
  <conditionalFormatting sqref="H736">
    <cfRule type="expression" dxfId="0" priority="586">
      <formula>AND($C736&lt;&gt;"",ISBLANK(H736))</formula>
    </cfRule>
  </conditionalFormatting>
  <conditionalFormatting sqref="I736">
    <cfRule type="expression" dxfId="0" priority="587">
      <formula>AND($C736&lt;&gt;"",ISBLANK(I736))</formula>
    </cfRule>
  </conditionalFormatting>
  <conditionalFormatting sqref="O736">
    <cfRule type="expression" dxfId="0" priority="543">
      <formula>AND($C736&lt;&gt;"",ISBLANK(O736))</formula>
    </cfRule>
  </conditionalFormatting>
  <conditionalFormatting sqref="P736">
    <cfRule type="expression" dxfId="0" priority="544">
      <formula>AND($C736&lt;&gt;"",ISBLANK(P736))</formula>
    </cfRule>
  </conditionalFormatting>
  <conditionalFormatting sqref="S736">
    <cfRule type="expression" dxfId="0" priority="545">
      <formula>AND($C736&lt;&gt;"",ISBLANK(S736))</formula>
    </cfRule>
  </conditionalFormatting>
  <conditionalFormatting sqref="V736">
    <cfRule type="expression" dxfId="0" priority="546">
      <formula>AND($C736&lt;&gt;"",ISBLANK(V736))</formula>
    </cfRule>
  </conditionalFormatting>
  <conditionalFormatting sqref="W736">
    <cfRule type="expression" dxfId="0" priority="547">
      <formula>AND($C736&lt;&gt;"",ISBLANK(W736))</formula>
    </cfRule>
  </conditionalFormatting>
  <conditionalFormatting sqref="X736">
    <cfRule type="expression" dxfId="0" priority="548">
      <formula>AND($C736&lt;&gt;"",ISBLANK(X736))</formula>
    </cfRule>
  </conditionalFormatting>
  <conditionalFormatting sqref="Y736">
    <cfRule type="expression" dxfId="0" priority="542">
      <formula>AND($C736&lt;&gt;"",ISBLANK(Y736))</formula>
    </cfRule>
  </conditionalFormatting>
  <conditionalFormatting sqref="Z736">
    <cfRule type="expression" dxfId="0" priority="549">
      <formula>AND($C736&lt;&gt;"",ISBLANK(Z736))</formula>
    </cfRule>
  </conditionalFormatting>
  <conditionalFormatting sqref="AA736">
    <cfRule type="expression" dxfId="0" priority="541">
      <formula>AND($C736&lt;&gt;"",ISBLANK(AA736))</formula>
    </cfRule>
  </conditionalFormatting>
  <conditionalFormatting sqref="AC736">
    <cfRule type="expression" dxfId="0" priority="540">
      <formula>AND($C736&lt;&gt;"",ISBLANK(AC736))</formula>
    </cfRule>
  </conditionalFormatting>
  <conditionalFormatting sqref="AC737">
    <cfRule type="expression" dxfId="0" priority="528">
      <formula>AND($C737&lt;&gt;"",ISBLANK(AC737))</formula>
    </cfRule>
  </conditionalFormatting>
  <conditionalFormatting sqref="AD737">
    <cfRule type="expression" dxfId="0" priority="527">
      <formula>AND($C737&lt;&gt;"",ISBLANK(AD737))</formula>
    </cfRule>
  </conditionalFormatting>
  <conditionalFormatting sqref="AE737">
    <cfRule type="expression" dxfId="0" priority="529">
      <formula>AND($C737&lt;&gt;"",ISBLANK(AE737))</formula>
    </cfRule>
  </conditionalFormatting>
  <conditionalFormatting sqref="AC738">
    <cfRule type="expression" dxfId="0" priority="515">
      <formula>AND($C738&lt;&gt;"",ISBLANK(AC738))</formula>
    </cfRule>
  </conditionalFormatting>
  <conditionalFormatting sqref="AD738">
    <cfRule type="expression" dxfId="0" priority="514">
      <formula>AND($C738&lt;&gt;"",ISBLANK(AD738))</formula>
    </cfRule>
  </conditionalFormatting>
  <conditionalFormatting sqref="AE738">
    <cfRule type="expression" dxfId="0" priority="516">
      <formula>AND($C738&lt;&gt;"",ISBLANK(AE738))</formula>
    </cfRule>
  </conditionalFormatting>
  <conditionalFormatting sqref="AC739">
    <cfRule type="expression" dxfId="0" priority="502">
      <formula>AND($C739&lt;&gt;"",ISBLANK(AC739))</formula>
    </cfRule>
  </conditionalFormatting>
  <conditionalFormatting sqref="AD739">
    <cfRule type="expression" dxfId="0" priority="501">
      <formula>AND($C739&lt;&gt;"",ISBLANK(AD739))</formula>
    </cfRule>
  </conditionalFormatting>
  <conditionalFormatting sqref="AE739">
    <cfRule type="expression" dxfId="0" priority="503">
      <formula>AND($C739&lt;&gt;"",ISBLANK(AE739))</formula>
    </cfRule>
  </conditionalFormatting>
  <conditionalFormatting sqref="AC740">
    <cfRule type="expression" dxfId="0" priority="489">
      <formula>AND($C740&lt;&gt;"",ISBLANK(AC740))</formula>
    </cfRule>
  </conditionalFormatting>
  <conditionalFormatting sqref="AD740">
    <cfRule type="expression" dxfId="0" priority="488">
      <formula>AND($C740&lt;&gt;"",ISBLANK(AD740))</formula>
    </cfRule>
  </conditionalFormatting>
  <conditionalFormatting sqref="AE740">
    <cfRule type="expression" dxfId="0" priority="490">
      <formula>AND($C740&lt;&gt;"",ISBLANK(AE740))</formula>
    </cfRule>
  </conditionalFormatting>
  <conditionalFormatting sqref="AC741">
    <cfRule type="expression" dxfId="0" priority="476">
      <formula>AND($C741&lt;&gt;"",ISBLANK(AC741))</formula>
    </cfRule>
  </conditionalFormatting>
  <conditionalFormatting sqref="AD741">
    <cfRule type="expression" dxfId="0" priority="475">
      <formula>AND($C741&lt;&gt;"",ISBLANK(AD741))</formula>
    </cfRule>
  </conditionalFormatting>
  <conditionalFormatting sqref="AE741">
    <cfRule type="expression" dxfId="0" priority="477">
      <formula>AND($C741&lt;&gt;"",ISBLANK(AE741))</formula>
    </cfRule>
  </conditionalFormatting>
  <conditionalFormatting sqref="AC742">
    <cfRule type="expression" dxfId="0" priority="134">
      <formula>AND($C742&lt;&gt;"",ISBLANK(AC742))</formula>
    </cfRule>
  </conditionalFormatting>
  <conditionalFormatting sqref="AD742">
    <cfRule type="expression" dxfId="0" priority="133">
      <formula>AND($C742&lt;&gt;"",ISBLANK(AD742))</formula>
    </cfRule>
  </conditionalFormatting>
  <conditionalFormatting sqref="AE742">
    <cfRule type="expression" dxfId="0" priority="135">
      <formula>AND($C742&lt;&gt;"",ISBLANK(AE742))</formula>
    </cfRule>
  </conditionalFormatting>
  <conditionalFormatting sqref="AC743">
    <cfRule type="expression" dxfId="0" priority="131">
      <formula>AND($C743&lt;&gt;"",ISBLANK(AC743))</formula>
    </cfRule>
  </conditionalFormatting>
  <conditionalFormatting sqref="AD743">
    <cfRule type="expression" dxfId="0" priority="130">
      <formula>AND($C743&lt;&gt;"",ISBLANK(AD743))</formula>
    </cfRule>
  </conditionalFormatting>
  <conditionalFormatting sqref="AE743">
    <cfRule type="expression" dxfId="0" priority="132">
      <formula>AND($C743&lt;&gt;"",ISBLANK(AE743))</formula>
    </cfRule>
  </conditionalFormatting>
  <conditionalFormatting sqref="AC744">
    <cfRule type="expression" dxfId="0" priority="128">
      <formula>AND($C744&lt;&gt;"",ISBLANK(AC744))</formula>
    </cfRule>
  </conditionalFormatting>
  <conditionalFormatting sqref="AD744">
    <cfRule type="expression" dxfId="0" priority="127">
      <formula>AND($C744&lt;&gt;"",ISBLANK(AD744))</formula>
    </cfRule>
  </conditionalFormatting>
  <conditionalFormatting sqref="AE744">
    <cfRule type="expression" dxfId="0" priority="129">
      <formula>AND($C744&lt;&gt;"",ISBLANK(AE744))</formula>
    </cfRule>
  </conditionalFormatting>
  <conditionalFormatting sqref="AC745">
    <cfRule type="expression" dxfId="0" priority="124">
      <formula>AND($C745&lt;&gt;"",ISBLANK(AC745))</formula>
    </cfRule>
  </conditionalFormatting>
  <conditionalFormatting sqref="AD745">
    <cfRule type="expression" dxfId="0" priority="123">
      <formula>AND($C745&lt;&gt;"",ISBLANK(AD745))</formula>
    </cfRule>
  </conditionalFormatting>
  <conditionalFormatting sqref="AE745">
    <cfRule type="expression" dxfId="0" priority="125">
      <formula>AND($C745&lt;&gt;"",ISBLANK(AE745))</formula>
    </cfRule>
  </conditionalFormatting>
  <conditionalFormatting sqref="G746">
    <cfRule type="expression" dxfId="0" priority="200">
      <formula>AND($B746&lt;&gt;"",ISBLANK(G746))</formula>
    </cfRule>
  </conditionalFormatting>
  <conditionalFormatting sqref="H746">
    <cfRule type="expression" dxfId="0" priority="433">
      <formula>AND($B746&lt;&gt;"",ISBLANK(H746))</formula>
    </cfRule>
  </conditionalFormatting>
  <conditionalFormatting sqref="I746">
    <cfRule type="expression" dxfId="0" priority="428">
      <formula>AND($B746&lt;&gt;"",ISBLANK(I746))</formula>
    </cfRule>
  </conditionalFormatting>
  <conditionalFormatting sqref="AC746">
    <cfRule type="expression" dxfId="0" priority="121">
      <formula>AND($C746&lt;&gt;"",ISBLANK(AC746))</formula>
    </cfRule>
  </conditionalFormatting>
  <conditionalFormatting sqref="AD746">
    <cfRule type="expression" dxfId="0" priority="120">
      <formula>AND($C746&lt;&gt;"",ISBLANK(AD746))</formula>
    </cfRule>
  </conditionalFormatting>
  <conditionalFormatting sqref="AE746">
    <cfRule type="expression" dxfId="0" priority="122">
      <formula>AND($C746&lt;&gt;"",ISBLANK(AE746))</formula>
    </cfRule>
  </conditionalFormatting>
  <conditionalFormatting sqref="G747">
    <cfRule type="expression" dxfId="0" priority="199">
      <formula>AND($B747&lt;&gt;"",ISBLANK(G747))</formula>
    </cfRule>
  </conditionalFormatting>
  <conditionalFormatting sqref="H747">
    <cfRule type="expression" dxfId="0" priority="432">
      <formula>AND($B747&lt;&gt;"",ISBLANK(H747))</formula>
    </cfRule>
  </conditionalFormatting>
  <conditionalFormatting sqref="I747">
    <cfRule type="expression" dxfId="0" priority="427">
      <formula>AND($B747&lt;&gt;"",ISBLANK(I747))</formula>
    </cfRule>
  </conditionalFormatting>
  <conditionalFormatting sqref="AC747">
    <cfRule type="expression" dxfId="0" priority="118">
      <formula>AND($C747&lt;&gt;"",ISBLANK(AC747))</formula>
    </cfRule>
  </conditionalFormatting>
  <conditionalFormatting sqref="AD747">
    <cfRule type="expression" dxfId="0" priority="117">
      <formula>AND($C747&lt;&gt;"",ISBLANK(AD747))</formula>
    </cfRule>
  </conditionalFormatting>
  <conditionalFormatting sqref="AE747">
    <cfRule type="expression" dxfId="0" priority="119">
      <formula>AND($C747&lt;&gt;"",ISBLANK(AE747))</formula>
    </cfRule>
  </conditionalFormatting>
  <conditionalFormatting sqref="G748">
    <cfRule type="expression" dxfId="0" priority="198">
      <formula>AND($B748&lt;&gt;"",ISBLANK(G748))</formula>
    </cfRule>
  </conditionalFormatting>
  <conditionalFormatting sqref="H748">
    <cfRule type="expression" dxfId="0" priority="431">
      <formula>AND($B748&lt;&gt;"",ISBLANK(H748))</formula>
    </cfRule>
  </conditionalFormatting>
  <conditionalFormatting sqref="I748">
    <cfRule type="expression" dxfId="0" priority="426">
      <formula>AND($B748&lt;&gt;"",ISBLANK(I748))</formula>
    </cfRule>
  </conditionalFormatting>
  <conditionalFormatting sqref="AD748">
    <cfRule type="expression" dxfId="0" priority="114">
      <formula>AND($C748&lt;&gt;"",ISBLANK(AD748))</formula>
    </cfRule>
  </conditionalFormatting>
  <conditionalFormatting sqref="AE748">
    <cfRule type="expression" dxfId="0" priority="115">
      <formula>AND($C748&lt;&gt;"",ISBLANK(AE748))</formula>
    </cfRule>
  </conditionalFormatting>
  <conditionalFormatting sqref="G749">
    <cfRule type="expression" dxfId="0" priority="197">
      <formula>AND($B749&lt;&gt;"",ISBLANK(G749))</formula>
    </cfRule>
  </conditionalFormatting>
  <conditionalFormatting sqref="H749">
    <cfRule type="expression" dxfId="0" priority="430">
      <formula>AND($B749&lt;&gt;"",ISBLANK(H749))</formula>
    </cfRule>
  </conditionalFormatting>
  <conditionalFormatting sqref="I749">
    <cfRule type="expression" dxfId="0" priority="425">
      <formula>AND($B749&lt;&gt;"",ISBLANK(I749))</formula>
    </cfRule>
  </conditionalFormatting>
  <conditionalFormatting sqref="AD749">
    <cfRule type="expression" dxfId="0" priority="110">
      <formula>AND($C749&lt;&gt;"",ISBLANK(AD749))</formula>
    </cfRule>
  </conditionalFormatting>
  <conditionalFormatting sqref="AE749">
    <cfRule type="expression" dxfId="0" priority="111">
      <formula>AND($C749&lt;&gt;"",ISBLANK(AE749))</formula>
    </cfRule>
  </conditionalFormatting>
  <conditionalFormatting sqref="G750">
    <cfRule type="expression" dxfId="0" priority="196">
      <formula>AND($B750&lt;&gt;"",ISBLANK(G750))</formula>
    </cfRule>
  </conditionalFormatting>
  <conditionalFormatting sqref="H750">
    <cfRule type="expression" dxfId="0" priority="429">
      <formula>AND($B750&lt;&gt;"",ISBLANK(H750))</formula>
    </cfRule>
  </conditionalFormatting>
  <conditionalFormatting sqref="I750">
    <cfRule type="expression" dxfId="0" priority="419">
      <formula>AND($B750&lt;&gt;"",ISBLANK(I750))</formula>
    </cfRule>
  </conditionalFormatting>
  <conditionalFormatting sqref="AD750">
    <cfRule type="expression" dxfId="0" priority="108">
      <formula>AND($C750&lt;&gt;"",ISBLANK(AD750))</formula>
    </cfRule>
  </conditionalFormatting>
  <conditionalFormatting sqref="AE750">
    <cfRule type="expression" dxfId="0" priority="109">
      <formula>AND($C750&lt;&gt;"",ISBLANK(AE750))</formula>
    </cfRule>
  </conditionalFormatting>
  <conditionalFormatting sqref="X755">
    <cfRule type="expression" dxfId="0" priority="409">
      <formula>AND($B755&lt;&gt;"",ISBLANK(X755))</formula>
    </cfRule>
  </conditionalFormatting>
  <conditionalFormatting sqref="AC755">
    <cfRule type="expression" dxfId="0" priority="402">
      <formula>AND($B755&lt;&gt;"",ISBLANK(AC755))</formula>
    </cfRule>
  </conditionalFormatting>
  <conditionalFormatting sqref="AE755">
    <cfRule type="expression" dxfId="0" priority="395">
      <formula>AND($B755&lt;&gt;"",ISBLANK(AE755))</formula>
    </cfRule>
  </conditionalFormatting>
  <conditionalFormatting sqref="I756">
    <cfRule type="expression" dxfId="0" priority="384">
      <formula>AND($B756&lt;&gt;"",ISBLANK(I756))</formula>
    </cfRule>
  </conditionalFormatting>
  <conditionalFormatting sqref="K756">
    <cfRule type="expression" dxfId="0" priority="385">
      <formula>AND($B756&lt;&gt;"",ISBLANK(K756))</formula>
    </cfRule>
  </conditionalFormatting>
  <conditionalFormatting sqref="L756">
    <cfRule type="expression" dxfId="0" priority="386">
      <formula>AND($B756&lt;&gt;"",ISBLANK(L756))</formula>
    </cfRule>
  </conditionalFormatting>
  <conditionalFormatting sqref="N756">
    <cfRule type="expression" dxfId="0" priority="387">
      <formula>AND($B756&lt;&gt;"",ISBLANK(N756))</formula>
    </cfRule>
  </conditionalFormatting>
  <conditionalFormatting sqref="O756">
    <cfRule type="expression" dxfId="0" priority="388">
      <formula>AND($B756&lt;&gt;"",ISBLANK(O756))</formula>
    </cfRule>
  </conditionalFormatting>
  <conditionalFormatting sqref="B759">
    <cfRule type="expression" dxfId="0" priority="365">
      <formula>AND($B759&lt;&gt;"",ISBLANK(B759))</formula>
    </cfRule>
  </conditionalFormatting>
  <conditionalFormatting sqref="C759">
    <cfRule type="expression" dxfId="0" priority="374">
      <formula>AND($B759&lt;&gt;"",ISBLANK(C759))</formula>
    </cfRule>
  </conditionalFormatting>
  <conditionalFormatting sqref="D759">
    <cfRule type="expression" dxfId="0" priority="375">
      <formula>AND($B759&lt;&gt;"",ISBLANK(D759))</formula>
    </cfRule>
  </conditionalFormatting>
  <conditionalFormatting sqref="F759">
    <cfRule type="expression" dxfId="0" priority="366">
      <formula>AND($B759&lt;&gt;"",ISBLANK(F759))</formula>
    </cfRule>
  </conditionalFormatting>
  <conditionalFormatting sqref="G759">
    <cfRule type="expression" dxfId="0" priority="193">
      <formula>AND($B759&lt;&gt;"",ISBLANK(G759))</formula>
    </cfRule>
  </conditionalFormatting>
  <conditionalFormatting sqref="H759">
    <cfRule type="expression" dxfId="0" priority="368">
      <formula>AND($B759&lt;&gt;"",ISBLANK(H759))</formula>
    </cfRule>
  </conditionalFormatting>
  <conditionalFormatting sqref="I759">
    <cfRule type="expression" dxfId="0" priority="369">
      <formula>AND($B759&lt;&gt;"",ISBLANK(I759))</formula>
    </cfRule>
  </conditionalFormatting>
  <conditionalFormatting sqref="K759">
    <cfRule type="expression" dxfId="0" priority="370">
      <formula>AND($B759&lt;&gt;"",ISBLANK(K759))</formula>
    </cfRule>
  </conditionalFormatting>
  <conditionalFormatting sqref="L759">
    <cfRule type="expression" dxfId="0" priority="371">
      <formula>AND($B759&lt;&gt;"",ISBLANK(L759))</formula>
    </cfRule>
  </conditionalFormatting>
  <conditionalFormatting sqref="N759">
    <cfRule type="expression" dxfId="0" priority="372">
      <formula>AND($B759&lt;&gt;"",ISBLANK(N759))</formula>
    </cfRule>
  </conditionalFormatting>
  <conditionalFormatting sqref="O759">
    <cfRule type="expression" dxfId="0" priority="373">
      <formula>AND($B759&lt;&gt;"",ISBLANK(O759))</formula>
    </cfRule>
  </conditionalFormatting>
  <conditionalFormatting sqref="P759">
    <cfRule type="expression" dxfId="0" priority="376">
      <formula>AND($B759&lt;&gt;"",ISBLANK(P759))</formula>
    </cfRule>
  </conditionalFormatting>
  <conditionalFormatting sqref="S759">
    <cfRule type="expression" dxfId="0" priority="377">
      <formula>AND($B759&lt;&gt;"",ISBLANK(S759))</formula>
    </cfRule>
  </conditionalFormatting>
  <conditionalFormatting sqref="V759">
    <cfRule type="expression" dxfId="0" priority="378">
      <formula>AND($B759&lt;&gt;"",ISBLANK(V759))</formula>
    </cfRule>
  </conditionalFormatting>
  <conditionalFormatting sqref="W759">
    <cfRule type="expression" dxfId="0" priority="379">
      <formula>AND($B759&lt;&gt;"",ISBLANK(W759))</formula>
    </cfRule>
  </conditionalFormatting>
  <conditionalFormatting sqref="G760">
    <cfRule type="expression" dxfId="0" priority="191">
      <formula>AND($B760&lt;&gt;"",ISBLANK(G760))</formula>
    </cfRule>
  </conditionalFormatting>
  <conditionalFormatting sqref="H760">
    <cfRule type="expression" dxfId="0" priority="343">
      <formula>AND($B760&lt;&gt;"",ISBLANK(H760))</formula>
    </cfRule>
  </conditionalFormatting>
  <conditionalFormatting sqref="I760">
    <cfRule type="expression" dxfId="0" priority="333">
      <formula>AND($B760&lt;&gt;"",ISBLANK(I760))</formula>
    </cfRule>
  </conditionalFormatting>
  <conditionalFormatting sqref="G761">
    <cfRule type="expression" dxfId="0" priority="192">
      <formula>AND($B761&lt;&gt;"",ISBLANK(G761))</formula>
    </cfRule>
  </conditionalFormatting>
  <conditionalFormatting sqref="H761">
    <cfRule type="expression" dxfId="0" priority="344">
      <formula>AND($B761&lt;&gt;"",ISBLANK(H761))</formula>
    </cfRule>
  </conditionalFormatting>
  <conditionalFormatting sqref="I761">
    <cfRule type="expression" dxfId="0" priority="334">
      <formula>AND($B761&lt;&gt;"",ISBLANK(I761))</formula>
    </cfRule>
  </conditionalFormatting>
  <conditionalFormatting sqref="G762">
    <cfRule type="expression" dxfId="0" priority="190">
      <formula>AND($B762&lt;&gt;"",ISBLANK(G762))</formula>
    </cfRule>
  </conditionalFormatting>
  <conditionalFormatting sqref="H762">
    <cfRule type="expression" dxfId="0" priority="342">
      <formula>AND($B762&lt;&gt;"",ISBLANK(H762))</formula>
    </cfRule>
  </conditionalFormatting>
  <conditionalFormatting sqref="I762">
    <cfRule type="expression" dxfId="0" priority="332">
      <formula>AND($B762&lt;&gt;"",ISBLANK(I762))</formula>
    </cfRule>
  </conditionalFormatting>
  <conditionalFormatting sqref="G763">
    <cfRule type="expression" dxfId="0" priority="189">
      <formula>AND($B763&lt;&gt;"",ISBLANK(G763))</formula>
    </cfRule>
  </conditionalFormatting>
  <conditionalFormatting sqref="H763">
    <cfRule type="expression" dxfId="0" priority="341">
      <formula>AND($B763&lt;&gt;"",ISBLANK(H763))</formula>
    </cfRule>
  </conditionalFormatting>
  <conditionalFormatting sqref="I763">
    <cfRule type="expression" dxfId="0" priority="331">
      <formula>AND($B763&lt;&gt;"",ISBLANK(I763))</formula>
    </cfRule>
  </conditionalFormatting>
  <conditionalFormatting sqref="G764">
    <cfRule type="expression" dxfId="0" priority="188">
      <formula>AND($B764&lt;&gt;"",ISBLANK(G764))</formula>
    </cfRule>
  </conditionalFormatting>
  <conditionalFormatting sqref="H764">
    <cfRule type="expression" dxfId="0" priority="340">
      <formula>AND($B764&lt;&gt;"",ISBLANK(H764))</formula>
    </cfRule>
  </conditionalFormatting>
  <conditionalFormatting sqref="I764">
    <cfRule type="expression" dxfId="0" priority="354">
      <formula>AND($B764&lt;&gt;"",ISBLANK(I764))</formula>
    </cfRule>
  </conditionalFormatting>
  <conditionalFormatting sqref="G765">
    <cfRule type="expression" dxfId="0" priority="187">
      <formula>AND($B765&lt;&gt;"",ISBLANK(G765))</formula>
    </cfRule>
  </conditionalFormatting>
  <conditionalFormatting sqref="H765">
    <cfRule type="expression" dxfId="0" priority="339">
      <formula>AND($B765&lt;&gt;"",ISBLANK(H765))</formula>
    </cfRule>
  </conditionalFormatting>
  <conditionalFormatting sqref="I765">
    <cfRule type="expression" dxfId="0" priority="330">
      <formula>AND($B765&lt;&gt;"",ISBLANK(I765))</formula>
    </cfRule>
  </conditionalFormatting>
  <conditionalFormatting sqref="G766">
    <cfRule type="expression" dxfId="0" priority="186">
      <formula>AND($B766&lt;&gt;"",ISBLANK(G766))</formula>
    </cfRule>
  </conditionalFormatting>
  <conditionalFormatting sqref="H766">
    <cfRule type="expression" dxfId="0" priority="338">
      <formula>AND($B766&lt;&gt;"",ISBLANK(H766))</formula>
    </cfRule>
  </conditionalFormatting>
  <conditionalFormatting sqref="I766">
    <cfRule type="expression" dxfId="0" priority="329">
      <formula>AND($B766&lt;&gt;"",ISBLANK(I766))</formula>
    </cfRule>
  </conditionalFormatting>
  <conditionalFormatting sqref="G767">
    <cfRule type="expression" dxfId="0" priority="185">
      <formula>AND($B767&lt;&gt;"",ISBLANK(G767))</formula>
    </cfRule>
  </conditionalFormatting>
  <conditionalFormatting sqref="H767">
    <cfRule type="expression" dxfId="0" priority="337">
      <formula>AND($B767&lt;&gt;"",ISBLANK(H767))</formula>
    </cfRule>
  </conditionalFormatting>
  <conditionalFormatting sqref="I767">
    <cfRule type="expression" dxfId="0" priority="328">
      <formula>AND($B767&lt;&gt;"",ISBLANK(I767))</formula>
    </cfRule>
  </conditionalFormatting>
  <conditionalFormatting sqref="G768">
    <cfRule type="expression" dxfId="0" priority="184">
      <formula>AND($B768&lt;&gt;"",ISBLANK(G768))</formula>
    </cfRule>
  </conditionalFormatting>
  <conditionalFormatting sqref="H768">
    <cfRule type="expression" dxfId="0" priority="336">
      <formula>AND($B768&lt;&gt;"",ISBLANK(H768))</formula>
    </cfRule>
  </conditionalFormatting>
  <conditionalFormatting sqref="I768">
    <cfRule type="expression" dxfId="0" priority="327">
      <formula>AND($B768&lt;&gt;"",ISBLANK(I768))</formula>
    </cfRule>
  </conditionalFormatting>
  <conditionalFormatting sqref="B769">
    <cfRule type="expression" dxfId="0" priority="361">
      <formula>AND($B769&lt;&gt;"",ISBLANK(B769))</formula>
    </cfRule>
  </conditionalFormatting>
  <conditionalFormatting sqref="F769">
    <cfRule type="expression" dxfId="0" priority="362">
      <formula>AND($B769&lt;&gt;"",ISBLANK(F769))</formula>
    </cfRule>
  </conditionalFormatting>
  <conditionalFormatting sqref="G769">
    <cfRule type="expression" dxfId="0" priority="183">
      <formula>AND($B769&lt;&gt;"",ISBLANK(G769))</formula>
    </cfRule>
  </conditionalFormatting>
  <conditionalFormatting sqref="H769">
    <cfRule type="expression" dxfId="0" priority="335">
      <formula>AND($B769&lt;&gt;"",ISBLANK(H769))</formula>
    </cfRule>
  </conditionalFormatting>
  <conditionalFormatting sqref="I769">
    <cfRule type="expression" dxfId="0" priority="326">
      <formula>AND($B769&lt;&gt;"",ISBLANK(I769))</formula>
    </cfRule>
  </conditionalFormatting>
  <conditionalFormatting sqref="G770">
    <cfRule type="expression" dxfId="0" priority="182">
      <formula>AND($B770&lt;&gt;"",ISBLANK(G770))</formula>
    </cfRule>
  </conditionalFormatting>
  <conditionalFormatting sqref="H770">
    <cfRule type="expression" dxfId="0" priority="317">
      <formula>AND($B770&lt;&gt;"",ISBLANK(H770))</formula>
    </cfRule>
  </conditionalFormatting>
  <conditionalFormatting sqref="I770">
    <cfRule type="expression" dxfId="0" priority="314">
      <formula>AND($B770&lt;&gt;"",ISBLANK(I770))</formula>
    </cfRule>
  </conditionalFormatting>
  <conditionalFormatting sqref="AB770">
    <cfRule type="expression" dxfId="0" priority="73">
      <formula>AND($B770&lt;&gt;"",ISBLANK(AB770))</formula>
    </cfRule>
  </conditionalFormatting>
  <conditionalFormatting sqref="AD770">
    <cfRule type="expression" dxfId="0" priority="76">
      <formula>AND($B770&lt;&gt;"",ISBLANK(AD770))</formula>
    </cfRule>
  </conditionalFormatting>
  <conditionalFormatting sqref="AE770">
    <cfRule type="expression" dxfId="0" priority="75">
      <formula>AND($B770&lt;&gt;"",ISBLANK(AE770))</formula>
    </cfRule>
  </conditionalFormatting>
  <conditionalFormatting sqref="AF770">
    <cfRule type="expression" dxfId="0" priority="74">
      <formula>AND($B770&lt;&gt;"",ISBLANK(AF770))</formula>
    </cfRule>
  </conditionalFormatting>
  <conditionalFormatting sqref="G771">
    <cfRule type="expression" dxfId="0" priority="181">
      <formula>AND($B771&lt;&gt;"",ISBLANK(G771))</formula>
    </cfRule>
  </conditionalFormatting>
  <conditionalFormatting sqref="H771">
    <cfRule type="expression" dxfId="0" priority="316">
      <formula>AND($B771&lt;&gt;"",ISBLANK(H771))</formula>
    </cfRule>
  </conditionalFormatting>
  <conditionalFormatting sqref="I771">
    <cfRule type="expression" dxfId="0" priority="313">
      <formula>AND($B771&lt;&gt;"",ISBLANK(I771))</formula>
    </cfRule>
  </conditionalFormatting>
  <conditionalFormatting sqref="AB771">
    <cfRule type="expression" dxfId="0" priority="92">
      <formula>AND($B771&lt;&gt;"",ISBLANK(AB771))</formula>
    </cfRule>
  </conditionalFormatting>
  <conditionalFormatting sqref="AD771">
    <cfRule type="expression" dxfId="0" priority="90">
      <formula>AND($B771&lt;&gt;"",ISBLANK(AD771))</formula>
    </cfRule>
  </conditionalFormatting>
  <conditionalFormatting sqref="A772">
    <cfRule type="expression" dxfId="0" priority="295">
      <formula>AND($B772&lt;&gt;"",ISBLANK(A772))</formula>
    </cfRule>
  </conditionalFormatting>
  <conditionalFormatting sqref="B772">
    <cfRule type="expression" dxfId="0" priority="297">
      <formula>AND($B772&lt;&gt;"",ISBLANK(B772))</formula>
    </cfRule>
  </conditionalFormatting>
  <conditionalFormatting sqref="G772">
    <cfRule type="expression" dxfId="0" priority="180">
      <formula>AND($B772&lt;&gt;"",ISBLANK(G772))</formula>
    </cfRule>
  </conditionalFormatting>
  <conditionalFormatting sqref="H772">
    <cfRule type="expression" dxfId="0" priority="315">
      <formula>AND($B772&lt;&gt;"",ISBLANK(H772))</formula>
    </cfRule>
  </conditionalFormatting>
  <conditionalFormatting sqref="I772">
    <cfRule type="expression" dxfId="0" priority="312">
      <formula>AND($B772&lt;&gt;"",ISBLANK(I772))</formula>
    </cfRule>
  </conditionalFormatting>
  <conditionalFormatting sqref="AB772">
    <cfRule type="expression" dxfId="0" priority="298">
      <formula>AND($B772&lt;&gt;"",ISBLANK(AB772))</formula>
    </cfRule>
  </conditionalFormatting>
  <conditionalFormatting sqref="AD772">
    <cfRule type="expression" dxfId="0" priority="300">
      <formula>AND($B772&lt;&gt;"",ISBLANK(AD772))</formula>
    </cfRule>
  </conditionalFormatting>
  <conditionalFormatting sqref="G773">
    <cfRule type="expression" dxfId="0" priority="14">
      <formula>AND($B773&lt;&gt;"",ISBLANK(G773))</formula>
    </cfRule>
  </conditionalFormatting>
  <conditionalFormatting sqref="G774">
    <cfRule type="expression" dxfId="0" priority="13">
      <formula>AND($B774&lt;&gt;"",ISBLANK(G774))</formula>
    </cfRule>
  </conditionalFormatting>
  <conditionalFormatting sqref="G775">
    <cfRule type="expression" dxfId="0" priority="12">
      <formula>AND($B775&lt;&gt;"",ISBLANK(G775))</formula>
    </cfRule>
  </conditionalFormatting>
  <conditionalFormatting sqref="G776">
    <cfRule type="expression" dxfId="0" priority="11">
      <formula>AND($B776&lt;&gt;"",ISBLANK(G776))</formula>
    </cfRule>
  </conditionalFormatting>
  <conditionalFormatting sqref="G777">
    <cfRule type="expression" dxfId="0" priority="7">
      <formula>AND($B777&lt;&gt;"",ISBLANK(G777))</formula>
    </cfRule>
  </conditionalFormatting>
  <conditionalFormatting sqref="G778">
    <cfRule type="expression" dxfId="0" priority="6">
      <formula>AND($B778&lt;&gt;"",ISBLANK(G778))</formula>
    </cfRule>
  </conditionalFormatting>
  <conditionalFormatting sqref="G779">
    <cfRule type="expression" dxfId="0" priority="5">
      <formula>AND($B779&lt;&gt;"",ISBLANK(G779))</formula>
    </cfRule>
  </conditionalFormatting>
  <conditionalFormatting sqref="G780">
    <cfRule type="expression" dxfId="0" priority="4">
      <formula>AND($B780&lt;&gt;"",ISBLANK(G780))</formula>
    </cfRule>
  </conditionalFormatting>
  <conditionalFormatting sqref="G781">
    <cfRule type="expression" dxfId="0" priority="3">
      <formula>AND($B781&lt;&gt;"",ISBLANK(G781))</formula>
    </cfRule>
  </conditionalFormatting>
  <conditionalFormatting sqref="X781">
    <cfRule type="expression" dxfId="0" priority="47">
      <formula>AND($B781&lt;&gt;"",ISBLANK(X781))</formula>
    </cfRule>
  </conditionalFormatting>
  <conditionalFormatting sqref="G782">
    <cfRule type="expression" dxfId="0" priority="2">
      <formula>AND($B782&lt;&gt;"",ISBLANK(G782))</formula>
    </cfRule>
  </conditionalFormatting>
  <conditionalFormatting sqref="G783">
    <cfRule type="expression" dxfId="0" priority="1">
      <formula>AND($B783&lt;&gt;"",ISBLANK(G783))</formula>
    </cfRule>
  </conditionalFormatting>
  <conditionalFormatting sqref="O783">
    <cfRule type="expression" dxfId="0" priority="41">
      <formula>AND($B783&lt;&gt;"",ISBLANK(O783))</formula>
    </cfRule>
  </conditionalFormatting>
  <conditionalFormatting sqref="P783">
    <cfRule type="expression" dxfId="0" priority="42">
      <formula>AND($B783&lt;&gt;"",ISBLANK(P783))</formula>
    </cfRule>
  </conditionalFormatting>
  <conditionalFormatting sqref="S783">
    <cfRule type="expression" dxfId="0" priority="43">
      <formula>AND($B783&lt;&gt;"",ISBLANK(S783))</formula>
    </cfRule>
  </conditionalFormatting>
  <conditionalFormatting sqref="V783">
    <cfRule type="expression" dxfId="0" priority="44">
      <formula>AND($B783&lt;&gt;"",ISBLANK(V783))</formula>
    </cfRule>
  </conditionalFormatting>
  <conditionalFormatting sqref="W783">
    <cfRule type="expression" dxfId="0" priority="45">
      <formula>AND($B783&lt;&gt;"",ISBLANK(W783))</formula>
    </cfRule>
  </conditionalFormatting>
  <conditionalFormatting sqref="X783">
    <cfRule type="expression" dxfId="0" priority="46">
      <formula>AND($B783&lt;&gt;"",ISBLANK(X783))</formula>
    </cfRule>
  </conditionalFormatting>
  <conditionalFormatting sqref="A508:A524">
    <cfRule type="expression" dxfId="0" priority="1829">
      <formula>AND($B508&lt;&gt;"",ISBLANK(A508))</formula>
    </cfRule>
  </conditionalFormatting>
  <conditionalFormatting sqref="A525:A541">
    <cfRule type="expression" dxfId="0" priority="1828">
      <formula>AND($B525&lt;&gt;"",ISBLANK(A525))</formula>
    </cfRule>
  </conditionalFormatting>
  <conditionalFormatting sqref="A542:A543">
    <cfRule type="expression" dxfId="0" priority="1827">
      <formula>AND($B542&lt;&gt;"",ISBLANK(A542))</formula>
    </cfRule>
  </conditionalFormatting>
  <conditionalFormatting sqref="A546:A563">
    <cfRule type="expression" dxfId="0" priority="1503">
      <formula>AND($B546&lt;&gt;"",ISBLANK(A546))</formula>
    </cfRule>
  </conditionalFormatting>
  <conditionalFormatting sqref="A590:A604">
    <cfRule type="expression" dxfId="0" priority="142">
      <formula>AND($B590&lt;&gt;"",ISBLANK(A590))</formula>
    </cfRule>
  </conditionalFormatting>
  <conditionalFormatting sqref="A605:A619">
    <cfRule type="expression" dxfId="0" priority="141">
      <formula>AND($B605&lt;&gt;"",ISBLANK(A605))</formula>
    </cfRule>
  </conditionalFormatting>
  <conditionalFormatting sqref="A620:A634">
    <cfRule type="expression" dxfId="0" priority="140">
      <formula>AND($B620&lt;&gt;"",ISBLANK(A620))</formula>
    </cfRule>
  </conditionalFormatting>
  <conditionalFormatting sqref="A635:A639">
    <cfRule type="expression" dxfId="0" priority="72">
      <formula>AND($B635&lt;&gt;"",ISBLANK(A635))</formula>
    </cfRule>
  </conditionalFormatting>
  <conditionalFormatting sqref="A640:A649">
    <cfRule type="expression" dxfId="0" priority="71">
      <formula>AND($B640&lt;&gt;"",ISBLANK(A640))</formula>
    </cfRule>
  </conditionalFormatting>
  <conditionalFormatting sqref="A650:A661">
    <cfRule type="expression" dxfId="0" priority="70">
      <formula>AND($B650&lt;&gt;"",ISBLANK(A650))</formula>
    </cfRule>
  </conditionalFormatting>
  <conditionalFormatting sqref="A662:A671">
    <cfRule type="expression" dxfId="0" priority="69">
      <formula>AND($B662&lt;&gt;"",ISBLANK(A662))</formula>
    </cfRule>
  </conditionalFormatting>
  <conditionalFormatting sqref="A672:A683">
    <cfRule type="expression" dxfId="0" priority="68">
      <formula>AND($B672&lt;&gt;"",ISBLANK(A672))</formula>
    </cfRule>
  </conditionalFormatting>
  <conditionalFormatting sqref="A684:A693">
    <cfRule type="expression" dxfId="0" priority="67">
      <formula>AND($B684&lt;&gt;"",ISBLANK(A684))</formula>
    </cfRule>
  </conditionalFormatting>
  <conditionalFormatting sqref="A694:A705">
    <cfRule type="expression" dxfId="0" priority="66">
      <formula>AND($B694&lt;&gt;"",ISBLANK(A694))</formula>
    </cfRule>
  </conditionalFormatting>
  <conditionalFormatting sqref="A706:A715">
    <cfRule type="expression" dxfId="0" priority="65">
      <formula>AND($B706&lt;&gt;"",ISBLANK(A706))</formula>
    </cfRule>
  </conditionalFormatting>
  <conditionalFormatting sqref="A716:A727">
    <cfRule type="expression" dxfId="0" priority="64">
      <formula>AND($B716&lt;&gt;"",ISBLANK(A716))</formula>
    </cfRule>
  </conditionalFormatting>
  <conditionalFormatting sqref="A728:A737">
    <cfRule type="expression" dxfId="0" priority="63">
      <formula>AND($B728&lt;&gt;"",ISBLANK(A728))</formula>
    </cfRule>
  </conditionalFormatting>
  <conditionalFormatting sqref="A738:A749">
    <cfRule type="expression" dxfId="0" priority="62">
      <formula>AND($B738&lt;&gt;"",ISBLANK(A738))</formula>
    </cfRule>
  </conditionalFormatting>
  <conditionalFormatting sqref="A750:A759">
    <cfRule type="expression" dxfId="0" priority="61">
      <formula>AND($B750&lt;&gt;"",ISBLANK(A750))</formula>
    </cfRule>
  </conditionalFormatting>
  <conditionalFormatting sqref="A760:A771">
    <cfRule type="expression" dxfId="0" priority="60">
      <formula>AND($B760&lt;&gt;"",ISBLANK(A760))</formula>
    </cfRule>
  </conditionalFormatting>
  <conditionalFormatting sqref="A773:A783">
    <cfRule type="expression" dxfId="0" priority="15">
      <formula>AND($B773&lt;&gt;"",ISBLANK(A773))</formula>
    </cfRule>
  </conditionalFormatting>
  <conditionalFormatting sqref="B2:B203">
    <cfRule type="expression" dxfId="0" priority="2207">
      <formula>AND($B2&lt;&gt;"",ISBLANK(B2))</formula>
    </cfRule>
  </conditionalFormatting>
  <conditionalFormatting sqref="B508:B524">
    <cfRule type="expression" dxfId="0" priority="1832">
      <formula>AND($B508&lt;&gt;"",ISBLANK(B508))</formula>
    </cfRule>
  </conditionalFormatting>
  <conditionalFormatting sqref="B525:B541">
    <cfRule type="expression" dxfId="0" priority="1831">
      <formula>AND($B525&lt;&gt;"",ISBLANK(B525))</formula>
    </cfRule>
  </conditionalFormatting>
  <conditionalFormatting sqref="B542:B543">
    <cfRule type="expression" dxfId="0" priority="1830">
      <formula>AND($B542&lt;&gt;"",ISBLANK(B542))</formula>
    </cfRule>
  </conditionalFormatting>
  <conditionalFormatting sqref="B544:B545">
    <cfRule type="expression" dxfId="0" priority="1833">
      <formula>AND($B544&lt;&gt;"",ISBLANK(B544))</formula>
    </cfRule>
  </conditionalFormatting>
  <conditionalFormatting sqref="B546:B563">
    <cfRule type="expression" dxfId="0" priority="1504">
      <formula>AND($B546&lt;&gt;"",ISBLANK(B546))</formula>
    </cfRule>
  </conditionalFormatting>
  <conditionalFormatting sqref="B590:B612">
    <cfRule type="expression" dxfId="0" priority="1446">
      <formula>AND($B590&lt;&gt;"",ISBLANK(B590))</formula>
    </cfRule>
  </conditionalFormatting>
  <conditionalFormatting sqref="B613:B633">
    <cfRule type="expression" dxfId="0" priority="1248">
      <formula>AND($B613&lt;&gt;"",ISBLANK(B613))</formula>
    </cfRule>
  </conditionalFormatting>
  <conditionalFormatting sqref="B634:B661">
    <cfRule type="expression" dxfId="0" priority="1228">
      <formula>AND($B634&lt;&gt;"",ISBLANK(B634))</formula>
    </cfRule>
  </conditionalFormatting>
  <conditionalFormatting sqref="B662:B683">
    <cfRule type="expression" dxfId="0" priority="1140">
      <formula>AND($B662&lt;&gt;"",ISBLANK(B662))</formula>
    </cfRule>
  </conditionalFormatting>
  <conditionalFormatting sqref="B684:B703">
    <cfRule type="expression" dxfId="0" priority="961">
      <formula>AND($B684&lt;&gt;"",ISBLANK(B684))</formula>
    </cfRule>
  </conditionalFormatting>
  <conditionalFormatting sqref="B704:B709">
    <cfRule type="expression" dxfId="0" priority="935">
      <formula>AND($B704&lt;&gt;"",ISBLANK(B704))</formula>
    </cfRule>
  </conditionalFormatting>
  <conditionalFormatting sqref="B710:B715">
    <cfRule type="expression" dxfId="0" priority="931">
      <formula>AND($B710&lt;&gt;"",ISBLANK(B710))</formula>
    </cfRule>
  </conditionalFormatting>
  <conditionalFormatting sqref="B716:B719">
    <cfRule type="expression" dxfId="0" priority="891">
      <formula>AND($C716&lt;&gt;"",ISBLANK(B716))</formula>
    </cfRule>
  </conditionalFormatting>
  <conditionalFormatting sqref="B720:B723">
    <cfRule type="expression" dxfId="0" priority="890">
      <formula>AND($C720&lt;&gt;"",ISBLANK(B720))</formula>
    </cfRule>
  </conditionalFormatting>
  <conditionalFormatting sqref="B724:B725">
    <cfRule type="expression" dxfId="0" priority="889">
      <formula>AND($C724&lt;&gt;"",ISBLANK(B724))</formula>
    </cfRule>
  </conditionalFormatting>
  <conditionalFormatting sqref="B726:B727">
    <cfRule type="expression" dxfId="0" priority="726">
      <formula>AND($C726&lt;&gt;"",ISBLANK(B726))</formula>
    </cfRule>
  </conditionalFormatting>
  <conditionalFormatting sqref="B728:B731">
    <cfRule type="expression" dxfId="0" priority="725">
      <formula>AND($C728&lt;&gt;"",ISBLANK(B728))</formula>
    </cfRule>
  </conditionalFormatting>
  <conditionalFormatting sqref="B732:B733">
    <cfRule type="expression" dxfId="0" priority="724">
      <formula>AND($C732&lt;&gt;"",ISBLANK(B732))</formula>
    </cfRule>
  </conditionalFormatting>
  <conditionalFormatting sqref="B734:B735">
    <cfRule type="expression" dxfId="0" priority="600">
      <formula>AND($C734&lt;&gt;"",ISBLANK(B734))</formula>
    </cfRule>
  </conditionalFormatting>
  <conditionalFormatting sqref="B737:B745">
    <cfRule type="expression" dxfId="0" priority="458">
      <formula>AND($B737&lt;&gt;"",ISBLANK(B737))</formula>
    </cfRule>
  </conditionalFormatting>
  <conditionalFormatting sqref="B746:B750">
    <cfRule type="expression" dxfId="0" priority="438">
      <formula>AND($B746&lt;&gt;"",ISBLANK(B746))</formula>
    </cfRule>
  </conditionalFormatting>
  <conditionalFormatting sqref="B751:B753">
    <cfRule type="expression" dxfId="0" priority="417">
      <formula>AND($B751&lt;&gt;"",ISBLANK(B751))</formula>
    </cfRule>
  </conditionalFormatting>
  <conditionalFormatting sqref="B754:B755">
    <cfRule type="expression" dxfId="0" priority="416">
      <formula>AND($B754&lt;&gt;"",ISBLANK(B754))</formula>
    </cfRule>
  </conditionalFormatting>
  <conditionalFormatting sqref="B756:B758">
    <cfRule type="expression" dxfId="0" priority="391">
      <formula>AND($B756&lt;&gt;"",ISBLANK(B756))</formula>
    </cfRule>
  </conditionalFormatting>
  <conditionalFormatting sqref="B760:B762">
    <cfRule type="expression" dxfId="0" priority="360">
      <formula>AND($B760&lt;&gt;"",ISBLANK(B760))</formula>
    </cfRule>
  </conditionalFormatting>
  <conditionalFormatting sqref="B763:B765">
    <cfRule type="expression" dxfId="0" priority="359">
      <formula>AND($B763&lt;&gt;"",ISBLANK(B763))</formula>
    </cfRule>
  </conditionalFormatting>
  <conditionalFormatting sqref="B766:B768">
    <cfRule type="expression" dxfId="0" priority="358">
      <formula>AND($B766&lt;&gt;"",ISBLANK(B766))</formula>
    </cfRule>
  </conditionalFormatting>
  <conditionalFormatting sqref="B770:B771">
    <cfRule type="expression" dxfId="0" priority="296">
      <formula>AND($B770&lt;&gt;"",ISBLANK(B770))</formula>
    </cfRule>
  </conditionalFormatting>
  <conditionalFormatting sqref="B773:B783">
    <cfRule type="expression" dxfId="0" priority="59">
      <formula>AND($B773&lt;&gt;"",ISBLANK(B773))</formula>
    </cfRule>
  </conditionalFormatting>
  <conditionalFormatting sqref="C2:C203">
    <cfRule type="expression" dxfId="0" priority="2142">
      <formula>AND($B2&lt;&gt;"",ISBLANK(C2))</formula>
    </cfRule>
  </conditionalFormatting>
  <conditionalFormatting sqref="C341:C391">
    <cfRule type="expression" dxfId="0" priority="2141">
      <formula>AND($B341&lt;&gt;"",ISBLANK(C341))</formula>
    </cfRule>
  </conditionalFormatting>
  <conditionalFormatting sqref="C392:C422">
    <cfRule type="expression" dxfId="0" priority="2140">
      <formula>AND($B392&lt;&gt;"",ISBLANK(C392))</formula>
    </cfRule>
  </conditionalFormatting>
  <conditionalFormatting sqref="C423:C436">
    <cfRule type="expression" dxfId="0" priority="2139">
      <formula>AND($B423&lt;&gt;"",ISBLANK(C423))</formula>
    </cfRule>
  </conditionalFormatting>
  <conditionalFormatting sqref="C438:C446">
    <cfRule type="expression" dxfId="0" priority="1973">
      <formula>AND($B438&lt;&gt;"",ISBLANK(C438))</formula>
    </cfRule>
  </conditionalFormatting>
  <conditionalFormatting sqref="C447:C455">
    <cfRule type="expression" dxfId="0" priority="1972">
      <formula>AND($B447&lt;&gt;"",ISBLANK(C447))</formula>
    </cfRule>
  </conditionalFormatting>
  <conditionalFormatting sqref="C456:C466">
    <cfRule type="expression" dxfId="0" priority="1971">
      <formula>AND($B456&lt;&gt;"",ISBLANK(C456))</formula>
    </cfRule>
  </conditionalFormatting>
  <conditionalFormatting sqref="C467:C475">
    <cfRule type="expression" dxfId="0" priority="1848">
      <formula>AND($B467&lt;&gt;"",ISBLANK(C467))</formula>
    </cfRule>
  </conditionalFormatting>
  <conditionalFormatting sqref="C476:C484">
    <cfRule type="expression" dxfId="0" priority="1846">
      <formula>AND($B476&lt;&gt;"",ISBLANK(C476))</formula>
    </cfRule>
  </conditionalFormatting>
  <conditionalFormatting sqref="C485:C493">
    <cfRule type="expression" dxfId="0" priority="1844">
      <formula>AND($B485&lt;&gt;"",ISBLANK(C485))</formula>
    </cfRule>
  </conditionalFormatting>
  <conditionalFormatting sqref="C494:C502">
    <cfRule type="expression" dxfId="0" priority="1842">
      <formula>AND($B494&lt;&gt;"",ISBLANK(C494))</formula>
    </cfRule>
  </conditionalFormatting>
  <conditionalFormatting sqref="C503:C507">
    <cfRule type="expression" dxfId="0" priority="1840">
      <formula>AND($B503&lt;&gt;"",ISBLANK(C503))</formula>
    </cfRule>
  </conditionalFormatting>
  <conditionalFormatting sqref="C508:C524">
    <cfRule type="expression" dxfId="0" priority="1826">
      <formula>AND($B508&lt;&gt;"",ISBLANK(C508))</formula>
    </cfRule>
  </conditionalFormatting>
  <conditionalFormatting sqref="C525:C541">
    <cfRule type="expression" dxfId="0" priority="1825">
      <formula>AND($B525&lt;&gt;"",ISBLANK(C525))</formula>
    </cfRule>
  </conditionalFormatting>
  <conditionalFormatting sqref="C542:C543">
    <cfRule type="expression" dxfId="0" priority="1824">
      <formula>AND($B542&lt;&gt;"",ISBLANK(C542))</formula>
    </cfRule>
  </conditionalFormatting>
  <conditionalFormatting sqref="C544:C545">
    <cfRule type="expression" dxfId="0" priority="1838">
      <formula>AND($B544&lt;&gt;"",ISBLANK(C544))</formula>
    </cfRule>
  </conditionalFormatting>
  <conditionalFormatting sqref="C546:C563">
    <cfRule type="expression" dxfId="0" priority="1505">
      <formula>AND($B546&lt;&gt;"",ISBLANK(C546))</formula>
    </cfRule>
  </conditionalFormatting>
  <conditionalFormatting sqref="C590:C612">
    <cfRule type="expression" dxfId="0" priority="1448">
      <formula>AND($B590&lt;&gt;"",ISBLANK(C590))</formula>
    </cfRule>
  </conditionalFormatting>
  <conditionalFormatting sqref="C613:C633">
    <cfRule type="expression" dxfId="0" priority="1250">
      <formula>AND($B613&lt;&gt;"",ISBLANK(C613))</formula>
    </cfRule>
  </conditionalFormatting>
  <conditionalFormatting sqref="C634:C661">
    <cfRule type="expression" dxfId="0" priority="1230">
      <formula>AND($B634&lt;&gt;"",ISBLANK(C634))</formula>
    </cfRule>
  </conditionalFormatting>
  <conditionalFormatting sqref="C662:C683">
    <cfRule type="expression" dxfId="0" priority="1145">
      <formula>AND($B662&lt;&gt;"",ISBLANK(C662))</formula>
    </cfRule>
  </conditionalFormatting>
  <conditionalFormatting sqref="C684:C703">
    <cfRule type="expression" dxfId="0" priority="966">
      <formula>AND($B684&lt;&gt;"",ISBLANK(C684))</formula>
    </cfRule>
  </conditionalFormatting>
  <conditionalFormatting sqref="C704:C709">
    <cfRule type="expression" dxfId="0" priority="937">
      <formula>AND($B704&lt;&gt;"",ISBLANK(C704))</formula>
    </cfRule>
  </conditionalFormatting>
  <conditionalFormatting sqref="C710:C715">
    <cfRule type="expression" dxfId="0" priority="933">
      <formula>AND($B710&lt;&gt;"",ISBLANK(C710))</formula>
    </cfRule>
  </conditionalFormatting>
  <conditionalFormatting sqref="C727:C733">
    <cfRule type="expression" dxfId="0" priority="722">
      <formula>AND($C727&lt;&gt;"",ISBLANK(C727))</formula>
    </cfRule>
  </conditionalFormatting>
  <conditionalFormatting sqref="C735:C736">
    <cfRule type="expression" dxfId="0" priority="596">
      <formula>AND($C735&lt;&gt;"",ISBLANK(C735))</formula>
    </cfRule>
  </conditionalFormatting>
  <conditionalFormatting sqref="C737:C745">
    <cfRule type="expression" dxfId="0" priority="467">
      <formula>AND($B737&lt;&gt;"",ISBLANK(C737))</formula>
    </cfRule>
  </conditionalFormatting>
  <conditionalFormatting sqref="C746:C750">
    <cfRule type="expression" dxfId="0" priority="447">
      <formula>AND($B746&lt;&gt;"",ISBLANK(C746))</formula>
    </cfRule>
  </conditionalFormatting>
  <conditionalFormatting sqref="C751:C755">
    <cfRule type="expression" dxfId="0" priority="414">
      <formula>AND($B751&lt;&gt;"",ISBLANK(C751))</formula>
    </cfRule>
  </conditionalFormatting>
  <conditionalFormatting sqref="C756:C758">
    <cfRule type="expression" dxfId="0" priority="392">
      <formula>AND($B756&lt;&gt;"",ISBLANK(C756))</formula>
    </cfRule>
  </conditionalFormatting>
  <conditionalFormatting sqref="C760:C769">
    <cfRule type="expression" dxfId="0" priority="363">
      <formula>AND($B760&lt;&gt;"",ISBLANK(C760))</formula>
    </cfRule>
  </conditionalFormatting>
  <conditionalFormatting sqref="C770:C772">
    <cfRule type="expression" dxfId="0" priority="324">
      <formula>AND($B770&lt;&gt;"",ISBLANK(C770))</formula>
    </cfRule>
  </conditionalFormatting>
  <conditionalFormatting sqref="C773:C783">
    <cfRule type="expression" dxfId="0" priority="58">
      <formula>AND($B773&lt;&gt;"",ISBLANK(C773))</formula>
    </cfRule>
  </conditionalFormatting>
  <conditionalFormatting sqref="D2:D203">
    <cfRule type="expression" dxfId="0" priority="2217">
      <formula>AND($B2&lt;&gt;"",ISBLANK(D2))</formula>
    </cfRule>
  </conditionalFormatting>
  <conditionalFormatting sqref="D341:D391">
    <cfRule type="expression" dxfId="0" priority="2188">
      <formula>AND($B341&lt;&gt;"",ISBLANK(D341))</formula>
    </cfRule>
  </conditionalFormatting>
  <conditionalFormatting sqref="D392:D422">
    <cfRule type="expression" dxfId="0" priority="2146">
      <formula>AND($B392&lt;&gt;"",ISBLANK(D392))</formula>
    </cfRule>
  </conditionalFormatting>
  <conditionalFormatting sqref="D423:D436">
    <cfRule type="expression" dxfId="0" priority="2144">
      <formula>AND($B423&lt;&gt;"",ISBLANK(D423))</formula>
    </cfRule>
  </conditionalFormatting>
  <conditionalFormatting sqref="D438:D466">
    <cfRule type="expression" dxfId="0" priority="1977">
      <formula>AND($B438&lt;&gt;"",ISBLANK(D438))</formula>
    </cfRule>
  </conditionalFormatting>
  <conditionalFormatting sqref="D467:D475">
    <cfRule type="expression" dxfId="0" priority="1849">
      <formula>AND($B467&lt;&gt;"",ISBLANK(D467))</formula>
    </cfRule>
  </conditionalFormatting>
  <conditionalFormatting sqref="D476:D484">
    <cfRule type="expression" dxfId="0" priority="1847">
      <formula>AND($B476&lt;&gt;"",ISBLANK(D476))</formula>
    </cfRule>
  </conditionalFormatting>
  <conditionalFormatting sqref="D485:D493">
    <cfRule type="expression" dxfId="0" priority="1845">
      <formula>AND($B485&lt;&gt;"",ISBLANK(D485))</formula>
    </cfRule>
  </conditionalFormatting>
  <conditionalFormatting sqref="D494:D502">
    <cfRule type="expression" dxfId="0" priority="1843">
      <formula>AND($B494&lt;&gt;"",ISBLANK(D494))</formula>
    </cfRule>
  </conditionalFormatting>
  <conditionalFormatting sqref="D503:D507">
    <cfRule type="expression" dxfId="0" priority="1841">
      <formula>AND($B503&lt;&gt;"",ISBLANK(D503))</formula>
    </cfRule>
  </conditionalFormatting>
  <conditionalFormatting sqref="D508:D524">
    <cfRule type="expression" dxfId="0" priority="1823">
      <formula>AND($B508&lt;&gt;"",ISBLANK(D508))</formula>
    </cfRule>
  </conditionalFormatting>
  <conditionalFormatting sqref="D525:D541">
    <cfRule type="expression" dxfId="0" priority="1822">
      <formula>AND($B525&lt;&gt;"",ISBLANK(D525))</formula>
    </cfRule>
  </conditionalFormatting>
  <conditionalFormatting sqref="D542:D543">
    <cfRule type="expression" dxfId="0" priority="1821">
      <formula>AND($B542&lt;&gt;"",ISBLANK(D542))</formula>
    </cfRule>
  </conditionalFormatting>
  <conditionalFormatting sqref="D544:D545">
    <cfRule type="expression" dxfId="0" priority="1839">
      <formula>AND($B544&lt;&gt;"",ISBLANK(D544))</formula>
    </cfRule>
  </conditionalFormatting>
  <conditionalFormatting sqref="D546:D563">
    <cfRule type="expression" dxfId="0" priority="1506">
      <formula>AND($B546&lt;&gt;"",ISBLANK(D546))</formula>
    </cfRule>
  </conditionalFormatting>
  <conditionalFormatting sqref="D590:D612">
    <cfRule type="expression" dxfId="0" priority="1449">
      <formula>AND($B590&lt;&gt;"",ISBLANK(D590))</formula>
    </cfRule>
  </conditionalFormatting>
  <conditionalFormatting sqref="D613:D633">
    <cfRule type="expression" dxfId="0" priority="1251">
      <formula>AND($B613&lt;&gt;"",ISBLANK(D613))</formula>
    </cfRule>
  </conditionalFormatting>
  <conditionalFormatting sqref="D634:D661">
    <cfRule type="expression" dxfId="0" priority="1231">
      <formula>AND($B634&lt;&gt;"",ISBLANK(D634))</formula>
    </cfRule>
  </conditionalFormatting>
  <conditionalFormatting sqref="D662:D683">
    <cfRule type="expression" dxfId="0" priority="1146">
      <formula>AND($B662&lt;&gt;"",ISBLANK(D662))</formula>
    </cfRule>
  </conditionalFormatting>
  <conditionalFormatting sqref="D684:D703">
    <cfRule type="expression" dxfId="0" priority="967">
      <formula>AND($B684&lt;&gt;"",ISBLANK(D684))</formula>
    </cfRule>
  </conditionalFormatting>
  <conditionalFormatting sqref="D704:D709">
    <cfRule type="expression" dxfId="0" priority="938">
      <formula>AND($B704&lt;&gt;"",ISBLANK(D704))</formula>
    </cfRule>
  </conditionalFormatting>
  <conditionalFormatting sqref="D710:D715">
    <cfRule type="expression" dxfId="0" priority="934">
      <formula>AND($B710&lt;&gt;"",ISBLANK(D710))</formula>
    </cfRule>
  </conditionalFormatting>
  <conditionalFormatting sqref="D727:D733">
    <cfRule type="expression" dxfId="0" priority="723">
      <formula>AND($C727&lt;&gt;"",ISBLANK(D727))</formula>
    </cfRule>
  </conditionalFormatting>
  <conditionalFormatting sqref="D735:D736">
    <cfRule type="expression" dxfId="0" priority="597">
      <formula>AND($C735&lt;&gt;"",ISBLANK(D735))</formula>
    </cfRule>
  </conditionalFormatting>
  <conditionalFormatting sqref="D737:D745">
    <cfRule type="expression" dxfId="0" priority="468">
      <formula>AND($B737&lt;&gt;"",ISBLANK(D737))</formula>
    </cfRule>
  </conditionalFormatting>
  <conditionalFormatting sqref="D746:D750">
    <cfRule type="expression" dxfId="0" priority="448">
      <formula>AND($B746&lt;&gt;"",ISBLANK(D746))</formula>
    </cfRule>
  </conditionalFormatting>
  <conditionalFormatting sqref="D751:D755">
    <cfRule type="expression" dxfId="0" priority="415">
      <formula>AND($B751&lt;&gt;"",ISBLANK(D751))</formula>
    </cfRule>
  </conditionalFormatting>
  <conditionalFormatting sqref="D756:D758">
    <cfRule type="expression" dxfId="0" priority="393">
      <formula>AND($B756&lt;&gt;"",ISBLANK(D756))</formula>
    </cfRule>
  </conditionalFormatting>
  <conditionalFormatting sqref="D760:D769">
    <cfRule type="expression" dxfId="0" priority="364">
      <formula>AND($B760&lt;&gt;"",ISBLANK(D760))</formula>
    </cfRule>
  </conditionalFormatting>
  <conditionalFormatting sqref="D770:D772">
    <cfRule type="expression" dxfId="0" priority="325">
      <formula>AND($B770&lt;&gt;"",ISBLANK(D770))</formula>
    </cfRule>
  </conditionalFormatting>
  <conditionalFormatting sqref="D773:D783">
    <cfRule type="expression" dxfId="0" priority="57">
      <formula>AND($B773&lt;&gt;"",ISBLANK(D773))</formula>
    </cfRule>
  </conditionalFormatting>
  <conditionalFormatting sqref="F2:F203">
    <cfRule type="expression" dxfId="0" priority="2208">
      <formula>AND($B2&lt;&gt;"",ISBLANK(F2))</formula>
    </cfRule>
  </conditionalFormatting>
  <conditionalFormatting sqref="F508:F524">
    <cfRule type="expression" dxfId="0" priority="1820">
      <formula>AND($B508&lt;&gt;"",ISBLANK(F508))</formula>
    </cfRule>
  </conditionalFormatting>
  <conditionalFormatting sqref="F525:F541">
    <cfRule type="expression" dxfId="0" priority="1819">
      <formula>AND($B525&lt;&gt;"",ISBLANK(F525))</formula>
    </cfRule>
  </conditionalFormatting>
  <conditionalFormatting sqref="F542:F543">
    <cfRule type="expression" dxfId="0" priority="1818">
      <formula>AND($B542&lt;&gt;"",ISBLANK(F542))</formula>
    </cfRule>
  </conditionalFormatting>
  <conditionalFormatting sqref="F544:F545">
    <cfRule type="expression" dxfId="0" priority="1834">
      <formula>AND($B544&lt;&gt;"",ISBLANK(F544))</formula>
    </cfRule>
  </conditionalFormatting>
  <conditionalFormatting sqref="F546:F563">
    <cfRule type="expression" dxfId="0" priority="1507">
      <formula>AND($B546&lt;&gt;"",ISBLANK(F546))</formula>
    </cfRule>
  </conditionalFormatting>
  <conditionalFormatting sqref="F590:F612">
    <cfRule type="expression" dxfId="0" priority="1447">
      <formula>AND($B590&lt;&gt;"",ISBLANK(F590))</formula>
    </cfRule>
  </conditionalFormatting>
  <conditionalFormatting sqref="F613:F633">
    <cfRule type="expression" dxfId="0" priority="1249">
      <formula>AND($B613&lt;&gt;"",ISBLANK(F613))</formula>
    </cfRule>
  </conditionalFormatting>
  <conditionalFormatting sqref="F634:F661">
    <cfRule type="expression" dxfId="0" priority="1229">
      <formula>AND($B634&lt;&gt;"",ISBLANK(F634))</formula>
    </cfRule>
  </conditionalFormatting>
  <conditionalFormatting sqref="F662:F683">
    <cfRule type="expression" dxfId="0" priority="1141">
      <formula>AND($B662&lt;&gt;"",ISBLANK(F662))</formula>
    </cfRule>
  </conditionalFormatting>
  <conditionalFormatting sqref="F684:F703">
    <cfRule type="expression" dxfId="0" priority="962">
      <formula>AND($B684&lt;&gt;"",ISBLANK(F684))</formula>
    </cfRule>
  </conditionalFormatting>
  <conditionalFormatting sqref="F704:F709">
    <cfRule type="expression" dxfId="0" priority="936">
      <formula>AND($B704&lt;&gt;"",ISBLANK(F704))</formula>
    </cfRule>
  </conditionalFormatting>
  <conditionalFormatting sqref="F710:F715">
    <cfRule type="expression" dxfId="0" priority="932">
      <formula>AND($B710&lt;&gt;"",ISBLANK(F710))</formula>
    </cfRule>
  </conditionalFormatting>
  <conditionalFormatting sqref="F716:F720">
    <cfRule type="expression" dxfId="0" priority="884">
      <formula>AND($C716&lt;&gt;"",ISBLANK(F716))</formula>
    </cfRule>
  </conditionalFormatting>
  <conditionalFormatting sqref="F721:F725">
    <cfRule type="expression" dxfId="0" priority="883">
      <formula>AND($C721&lt;&gt;"",ISBLANK(F721))</formula>
    </cfRule>
  </conditionalFormatting>
  <conditionalFormatting sqref="F726:F728">
    <cfRule type="expression" dxfId="0" priority="719">
      <formula>AND($C726&lt;&gt;"",ISBLANK(F726))</formula>
    </cfRule>
  </conditionalFormatting>
  <conditionalFormatting sqref="F729:F733">
    <cfRule type="expression" dxfId="0" priority="718">
      <formula>AND($C729&lt;&gt;"",ISBLANK(F729))</formula>
    </cfRule>
  </conditionalFormatting>
  <conditionalFormatting sqref="F734:F736">
    <cfRule type="expression" dxfId="0" priority="593">
      <formula>AND($C734&lt;&gt;"",ISBLANK(F734))</formula>
    </cfRule>
  </conditionalFormatting>
  <conditionalFormatting sqref="F737:F745">
    <cfRule type="expression" dxfId="0" priority="459">
      <formula>AND($B737&lt;&gt;"",ISBLANK(F737))</formula>
    </cfRule>
  </conditionalFormatting>
  <conditionalFormatting sqref="F746:F750">
    <cfRule type="expression" dxfId="0" priority="439">
      <formula>AND($B746&lt;&gt;"",ISBLANK(F746))</formula>
    </cfRule>
  </conditionalFormatting>
  <conditionalFormatting sqref="F751:F755">
    <cfRule type="expression" dxfId="0" priority="413">
      <formula>AND($B751&lt;&gt;"",ISBLANK(F751))</formula>
    </cfRule>
  </conditionalFormatting>
  <conditionalFormatting sqref="F756:F758">
    <cfRule type="expression" dxfId="0" priority="390">
      <formula>AND($B756&lt;&gt;"",ISBLANK(F756))</formula>
    </cfRule>
  </conditionalFormatting>
  <conditionalFormatting sqref="F760:F762">
    <cfRule type="expression" dxfId="0" priority="357">
      <formula>AND($B760&lt;&gt;"",ISBLANK(F760))</formula>
    </cfRule>
  </conditionalFormatting>
  <conditionalFormatting sqref="F763:F765">
    <cfRule type="expression" dxfId="0" priority="356">
      <formula>AND($B763&lt;&gt;"",ISBLANK(F763))</formula>
    </cfRule>
  </conditionalFormatting>
  <conditionalFormatting sqref="F766:F768">
    <cfRule type="expression" dxfId="0" priority="355">
      <formula>AND($B766&lt;&gt;"",ISBLANK(F766))</formula>
    </cfRule>
  </conditionalFormatting>
  <conditionalFormatting sqref="F770:F772">
    <cfRule type="expression" dxfId="0" priority="323">
      <formula>AND($B770&lt;&gt;"",ISBLANK(F770))</formula>
    </cfRule>
  </conditionalFormatting>
  <conditionalFormatting sqref="F773:F783">
    <cfRule type="expression" dxfId="0" priority="56">
      <formula>AND($B773&lt;&gt;"",ISBLANK(F773))</formula>
    </cfRule>
  </conditionalFormatting>
  <conditionalFormatting sqref="G2:G21">
    <cfRule type="expression" dxfId="0" priority="290">
      <formula>AND($B2&lt;&gt;"",ISBLANK(G2))</formula>
    </cfRule>
  </conditionalFormatting>
  <conditionalFormatting sqref="G32:G51">
    <cfRule type="expression" dxfId="0" priority="289">
      <formula>AND($B32&lt;&gt;"",ISBLANK(G32))</formula>
    </cfRule>
  </conditionalFormatting>
  <conditionalFormatting sqref="G62:G81">
    <cfRule type="expression" dxfId="0" priority="288">
      <formula>AND($B62&lt;&gt;"",ISBLANK(G62))</formula>
    </cfRule>
  </conditionalFormatting>
  <conditionalFormatting sqref="G92:G111">
    <cfRule type="expression" dxfId="0" priority="287">
      <formula>AND($B92&lt;&gt;"",ISBLANK(G92))</formula>
    </cfRule>
  </conditionalFormatting>
  <conditionalFormatting sqref="G122:G141">
    <cfRule type="expression" dxfId="0" priority="286">
      <formula>AND($B122&lt;&gt;"",ISBLANK(G122))</formula>
    </cfRule>
  </conditionalFormatting>
  <conditionalFormatting sqref="G152:G203">
    <cfRule type="expression" dxfId="0" priority="291">
      <formula>AND($B152&lt;&gt;"",ISBLANK(G152))</formula>
    </cfRule>
  </conditionalFormatting>
  <conditionalFormatting sqref="G438:G450">
    <cfRule type="expression" dxfId="0" priority="292">
      <formula>AND($B439&lt;&gt;"",ISBLANK(G438))</formula>
    </cfRule>
  </conditionalFormatting>
  <conditionalFormatting sqref="G451:G466">
    <cfRule type="expression" dxfId="0" priority="293">
      <formula>AND($B453&lt;&gt;"",ISBLANK(G451))</formula>
    </cfRule>
  </conditionalFormatting>
  <conditionalFormatting sqref="G508:G545">
    <cfRule type="expression" dxfId="0" priority="243">
      <formula>AND($B508&lt;&gt;"",ISBLANK(G508))</formula>
    </cfRule>
  </conditionalFormatting>
  <conditionalFormatting sqref="G546:G563">
    <cfRule type="expression" dxfId="0" priority="242">
      <formula>AND($B546&lt;&gt;"",ISBLANK(G546))</formula>
    </cfRule>
  </conditionalFormatting>
  <conditionalFormatting sqref="G590:G612">
    <cfRule type="expression" dxfId="0" priority="241">
      <formula>AND($B590&lt;&gt;"",ISBLANK(G590))</formula>
    </cfRule>
  </conditionalFormatting>
  <conditionalFormatting sqref="G613:G633">
    <cfRule type="expression" dxfId="0" priority="240">
      <formula>AND($B613&lt;&gt;"",ISBLANK(G613))</formula>
    </cfRule>
  </conditionalFormatting>
  <conditionalFormatting sqref="G635:G661">
    <cfRule type="expression" dxfId="0" priority="239">
      <formula>AND($B635&lt;&gt;"",ISBLANK(G635))</formula>
    </cfRule>
  </conditionalFormatting>
  <conditionalFormatting sqref="G663:G683">
    <cfRule type="expression" dxfId="0" priority="237">
      <formula>AND($B663&lt;&gt;"",ISBLANK(G663))</formula>
    </cfRule>
  </conditionalFormatting>
  <conditionalFormatting sqref="G684:G703">
    <cfRule type="expression" dxfId="0" priority="235">
      <formula>AND($B684&lt;&gt;"",ISBLANK(G684))</formula>
    </cfRule>
  </conditionalFormatting>
  <conditionalFormatting sqref="G737:G745">
    <cfRule type="expression" dxfId="0" priority="201">
      <formula>AND($B737&lt;&gt;"",ISBLANK(G737))</formula>
    </cfRule>
  </conditionalFormatting>
  <conditionalFormatting sqref="G751:G755">
    <cfRule type="expression" dxfId="0" priority="195">
      <formula>AND($B751&lt;&gt;"",ISBLANK(G751))</formula>
    </cfRule>
  </conditionalFormatting>
  <conditionalFormatting sqref="G756:G757">
    <cfRule type="expression" dxfId="0" priority="194">
      <formula>AND($B756&lt;&gt;"",ISBLANK(G756))</formula>
    </cfRule>
  </conditionalFormatting>
  <conditionalFormatting sqref="H2:H21">
    <cfRule type="expression" dxfId="0" priority="2201">
      <formula>AND($B2&lt;&gt;"",ISBLANK(H2))</formula>
    </cfRule>
  </conditionalFormatting>
  <conditionalFormatting sqref="H32:H51">
    <cfRule type="expression" dxfId="0" priority="2200">
      <formula>AND($B32&lt;&gt;"",ISBLANK(H32))</formula>
    </cfRule>
  </conditionalFormatting>
  <conditionalFormatting sqref="H62:H81">
    <cfRule type="expression" dxfId="0" priority="2199">
      <formula>AND($B62&lt;&gt;"",ISBLANK(H62))</formula>
    </cfRule>
  </conditionalFormatting>
  <conditionalFormatting sqref="H92:H111">
    <cfRule type="expression" dxfId="0" priority="2198">
      <formula>AND($B92&lt;&gt;"",ISBLANK(H92))</formula>
    </cfRule>
  </conditionalFormatting>
  <conditionalFormatting sqref="H122:H141">
    <cfRule type="expression" dxfId="0" priority="2197">
      <formula>AND($B122&lt;&gt;"",ISBLANK(H122))</formula>
    </cfRule>
  </conditionalFormatting>
  <conditionalFormatting sqref="H152:H203">
    <cfRule type="expression" dxfId="0" priority="2210">
      <formula>AND($B152&lt;&gt;"",ISBLANK(H152))</formula>
    </cfRule>
  </conditionalFormatting>
  <conditionalFormatting sqref="H438:H450">
    <cfRule type="expression" dxfId="0" priority="2227">
      <formula>AND($B439&lt;&gt;"",ISBLANK(H438))</formula>
    </cfRule>
  </conditionalFormatting>
  <conditionalFormatting sqref="H451:H466">
    <cfRule type="expression" dxfId="0" priority="2229">
      <formula>AND($B453&lt;&gt;"",ISBLANK(H451))</formula>
    </cfRule>
  </conditionalFormatting>
  <conditionalFormatting sqref="H508:H545">
    <cfRule type="expression" dxfId="0" priority="1836">
      <formula>AND($B508&lt;&gt;"",ISBLANK(H508))</formula>
    </cfRule>
  </conditionalFormatting>
  <conditionalFormatting sqref="H546:H563">
    <cfRule type="expression" dxfId="0" priority="1501">
      <formula>AND($B546&lt;&gt;"",ISBLANK(H546))</formula>
    </cfRule>
  </conditionalFormatting>
  <conditionalFormatting sqref="H590:H612">
    <cfRule type="expression" dxfId="0" priority="1444">
      <formula>AND($B590&lt;&gt;"",ISBLANK(H590))</formula>
    </cfRule>
  </conditionalFormatting>
  <conditionalFormatting sqref="H613:H633">
    <cfRule type="expression" dxfId="0" priority="1246">
      <formula>AND($B613&lt;&gt;"",ISBLANK(H613))</formula>
    </cfRule>
  </conditionalFormatting>
  <conditionalFormatting sqref="H635:H661">
    <cfRule type="expression" dxfId="0" priority="1226">
      <formula>AND($B635&lt;&gt;"",ISBLANK(H635))</formula>
    </cfRule>
  </conditionalFormatting>
  <conditionalFormatting sqref="H663:H683">
    <cfRule type="expression" dxfId="0" priority="1143">
      <formula>AND($B663&lt;&gt;"",ISBLANK(H663))</formula>
    </cfRule>
  </conditionalFormatting>
  <conditionalFormatting sqref="H684:H703">
    <cfRule type="expression" dxfId="0" priority="964">
      <formula>AND($B684&lt;&gt;"",ISBLANK(H684))</formula>
    </cfRule>
  </conditionalFormatting>
  <conditionalFormatting sqref="H737:H745">
    <cfRule type="expression" dxfId="0" priority="461">
      <formula>AND($B737&lt;&gt;"",ISBLANK(H737))</formula>
    </cfRule>
  </conditionalFormatting>
  <conditionalFormatting sqref="H751:H755">
    <cfRule type="expression" dxfId="0" priority="411">
      <formula>AND($B751&lt;&gt;"",ISBLANK(H751))</formula>
    </cfRule>
  </conditionalFormatting>
  <conditionalFormatting sqref="H756:H757">
    <cfRule type="expression" dxfId="0" priority="389">
      <formula>AND($B756&lt;&gt;"",ISBLANK(H756))</formula>
    </cfRule>
  </conditionalFormatting>
  <conditionalFormatting sqref="H773:H783">
    <cfRule type="expression" dxfId="0" priority="54">
      <formula>AND($B773&lt;&gt;"",ISBLANK(H773))</formula>
    </cfRule>
  </conditionalFormatting>
  <conditionalFormatting sqref="I2:I21">
    <cfRule type="expression" dxfId="0" priority="2196">
      <formula>AND($B2&lt;&gt;"",ISBLANK(I2))</formula>
    </cfRule>
  </conditionalFormatting>
  <conditionalFormatting sqref="I32:I34">
    <cfRule type="expression" dxfId="0" priority="2195">
      <formula>AND($B32&lt;&gt;"",ISBLANK(I32))</formula>
    </cfRule>
  </conditionalFormatting>
  <conditionalFormatting sqref="I35:I54">
    <cfRule type="expression" dxfId="0" priority="2194">
      <formula>AND($B35&lt;&gt;"",ISBLANK(I35))</formula>
    </cfRule>
  </conditionalFormatting>
  <conditionalFormatting sqref="I65:I67">
    <cfRule type="expression" dxfId="0" priority="2193">
      <formula>AND($B65&lt;&gt;"",ISBLANK(I65))</formula>
    </cfRule>
  </conditionalFormatting>
  <conditionalFormatting sqref="I68:I203">
    <cfRule type="expression" dxfId="0" priority="2211">
      <formula>AND($B68&lt;&gt;"",ISBLANK(I68))</formula>
    </cfRule>
  </conditionalFormatting>
  <conditionalFormatting sqref="I438:I450">
    <cfRule type="expression" dxfId="0" priority="2228">
      <formula>AND($B439&lt;&gt;"",ISBLANK(I438))</formula>
    </cfRule>
  </conditionalFormatting>
  <conditionalFormatting sqref="I451:I466">
    <cfRule type="expression" dxfId="0" priority="2230">
      <formula>AND($B453&lt;&gt;"",ISBLANK(I451))</formula>
    </cfRule>
  </conditionalFormatting>
  <conditionalFormatting sqref="I508:I545">
    <cfRule type="expression" dxfId="0" priority="1837">
      <formula>AND($B508&lt;&gt;"",ISBLANK(I508))</formula>
    </cfRule>
  </conditionalFormatting>
  <conditionalFormatting sqref="I546:I563">
    <cfRule type="expression" dxfId="0" priority="1502">
      <formula>AND($B546&lt;&gt;"",ISBLANK(I546))</formula>
    </cfRule>
  </conditionalFormatting>
  <conditionalFormatting sqref="I613:I633">
    <cfRule type="expression" dxfId="0" priority="1247">
      <formula>AND($B613&lt;&gt;"",ISBLANK(I613))</formula>
    </cfRule>
  </conditionalFormatting>
  <conditionalFormatting sqref="I663:I683">
    <cfRule type="expression" dxfId="0" priority="1144">
      <formula>AND($B663&lt;&gt;"",ISBLANK(I663))</formula>
    </cfRule>
  </conditionalFormatting>
  <conditionalFormatting sqref="I714:I715">
    <cfRule type="expression" dxfId="0" priority="943">
      <formula>AND($B714&lt;&gt;"",ISBLANK(I714))</formula>
    </cfRule>
  </conditionalFormatting>
  <conditionalFormatting sqref="I737:I745">
    <cfRule type="expression" dxfId="0" priority="462">
      <formula>AND($B737&lt;&gt;"",ISBLANK(I737))</formula>
    </cfRule>
  </conditionalFormatting>
  <conditionalFormatting sqref="I751:I755">
    <cfRule type="expression" dxfId="0" priority="412">
      <formula>AND($B751&lt;&gt;"",ISBLANK(I751))</formula>
    </cfRule>
  </conditionalFormatting>
  <conditionalFormatting sqref="I757:I758">
    <cfRule type="expression" dxfId="0" priority="383">
      <formula>AND($B757&lt;&gt;"",ISBLANK(I757))</formula>
    </cfRule>
  </conditionalFormatting>
  <conditionalFormatting sqref="I773:I783">
    <cfRule type="expression" dxfId="0" priority="55">
      <formula>AND($B773&lt;&gt;"",ISBLANK(I773))</formula>
    </cfRule>
  </conditionalFormatting>
  <conditionalFormatting sqref="K2:K203">
    <cfRule type="expression" dxfId="0" priority="2212">
      <formula>AND($B2&lt;&gt;"",ISBLANK(K2))</formula>
    </cfRule>
  </conditionalFormatting>
  <conditionalFormatting sqref="K737:K745">
    <cfRule type="expression" dxfId="0" priority="463">
      <formula>AND($B737&lt;&gt;"",ISBLANK(K737))</formula>
    </cfRule>
  </conditionalFormatting>
  <conditionalFormatting sqref="K746:K750">
    <cfRule type="expression" dxfId="0" priority="443">
      <formula>AND($B746&lt;&gt;"",ISBLANK(K746))</formula>
    </cfRule>
  </conditionalFormatting>
  <conditionalFormatting sqref="L2:L203">
    <cfRule type="expression" dxfId="0" priority="2213">
      <formula>AND($B2&lt;&gt;"",ISBLANK(L2))</formula>
    </cfRule>
  </conditionalFormatting>
  <conditionalFormatting sqref="L737:L745">
    <cfRule type="expression" dxfId="0" priority="464">
      <formula>AND($B737&lt;&gt;"",ISBLANK(L737))</formula>
    </cfRule>
  </conditionalFormatting>
  <conditionalFormatting sqref="L746:L750">
    <cfRule type="expression" dxfId="0" priority="444">
      <formula>AND($B746&lt;&gt;"",ISBLANK(L746))</formula>
    </cfRule>
  </conditionalFormatting>
  <conditionalFormatting sqref="N2:N203">
    <cfRule type="expression" dxfId="0" priority="2214">
      <formula>AND($B2&lt;&gt;"",ISBLANK(N2))</formula>
    </cfRule>
  </conditionalFormatting>
  <conditionalFormatting sqref="N737:N745">
    <cfRule type="expression" dxfId="0" priority="465">
      <formula>AND($B737&lt;&gt;"",ISBLANK(N737))</formula>
    </cfRule>
  </conditionalFormatting>
  <conditionalFormatting sqref="N746:N750">
    <cfRule type="expression" dxfId="0" priority="445">
      <formula>AND($B746&lt;&gt;"",ISBLANK(N746))</formula>
    </cfRule>
  </conditionalFormatting>
  <conditionalFormatting sqref="O2:O203">
    <cfRule type="expression" dxfId="0" priority="2215">
      <formula>AND($B2&lt;&gt;"",ISBLANK(O2))</formula>
    </cfRule>
  </conditionalFormatting>
  <conditionalFormatting sqref="O438:O440">
    <cfRule type="expression" dxfId="0" priority="170">
      <formula>AND($B438&lt;&gt;"",ISBLANK(O438))</formula>
    </cfRule>
  </conditionalFormatting>
  <conditionalFormatting sqref="O442:O445">
    <cfRule type="expression" dxfId="0" priority="168">
      <formula>AND($B442&lt;&gt;"",ISBLANK(O442))</formula>
    </cfRule>
  </conditionalFormatting>
  <conditionalFormatting sqref="O447:O449">
    <cfRule type="expression" dxfId="0" priority="166">
      <formula>AND($B447&lt;&gt;"",ISBLANK(O447))</formula>
    </cfRule>
  </conditionalFormatting>
  <conditionalFormatting sqref="O451:O454">
    <cfRule type="expression" dxfId="0" priority="164">
      <formula>AND($B451&lt;&gt;"",ISBLANK(O451))</formula>
    </cfRule>
  </conditionalFormatting>
  <conditionalFormatting sqref="O456:O458">
    <cfRule type="expression" dxfId="0" priority="162">
      <formula>AND($B456&lt;&gt;"",ISBLANK(O456))</formula>
    </cfRule>
  </conditionalFormatting>
  <conditionalFormatting sqref="O460:O463">
    <cfRule type="expression" dxfId="0" priority="160">
      <formula>AND($B460&lt;&gt;"",ISBLANK(O460))</formula>
    </cfRule>
  </conditionalFormatting>
  <conditionalFormatting sqref="O465:O466">
    <cfRule type="expression" dxfId="0" priority="158">
      <formula>AND($B465&lt;&gt;"",ISBLANK(O465))</formula>
    </cfRule>
  </conditionalFormatting>
  <conditionalFormatting sqref="O546:O563">
    <cfRule type="expression" dxfId="0" priority="1488">
      <formula>AND($B546&lt;&gt;"",ISBLANK(O546))</formula>
    </cfRule>
  </conditionalFormatting>
  <conditionalFormatting sqref="O590:O612">
    <cfRule type="expression" dxfId="0" priority="1437">
      <formula>AND($B590&lt;&gt;"",ISBLANK(O590))</formula>
    </cfRule>
  </conditionalFormatting>
  <conditionalFormatting sqref="O613:O633">
    <cfRule type="expression" dxfId="0" priority="1239">
      <formula>AND($B613&lt;&gt;"",ISBLANK(O613))</formula>
    </cfRule>
  </conditionalFormatting>
  <conditionalFormatting sqref="O634:O644">
    <cfRule type="expression" dxfId="0" priority="139">
      <formula>AND($B634&lt;&gt;"",ISBLANK(O634))</formula>
    </cfRule>
  </conditionalFormatting>
  <conditionalFormatting sqref="O645:O655">
    <cfRule type="expression" dxfId="0" priority="138">
      <formula>AND($B645&lt;&gt;"",ISBLANK(O645))</formula>
    </cfRule>
  </conditionalFormatting>
  <conditionalFormatting sqref="O656:O666">
    <cfRule type="expression" dxfId="0" priority="137">
      <formula>AND($B656&lt;&gt;"",ISBLANK(O656))</formula>
    </cfRule>
  </conditionalFormatting>
  <conditionalFormatting sqref="O684:O703">
    <cfRule type="expression" dxfId="0" priority="951">
      <formula>AND($B684&lt;&gt;"",ISBLANK(O684))</formula>
    </cfRule>
  </conditionalFormatting>
  <conditionalFormatting sqref="O704:O715">
    <cfRule type="expression" dxfId="0" priority="900">
      <formula>AND($B704&lt;&gt;"",ISBLANK(O704))</formula>
    </cfRule>
  </conditionalFormatting>
  <conditionalFormatting sqref="O737:O745">
    <cfRule type="expression" dxfId="0" priority="466">
      <formula>AND($B737&lt;&gt;"",ISBLANK(O737))</formula>
    </cfRule>
  </conditionalFormatting>
  <conditionalFormatting sqref="O746:O750">
    <cfRule type="expression" dxfId="0" priority="446">
      <formula>AND($B746&lt;&gt;"",ISBLANK(O746))</formula>
    </cfRule>
  </conditionalFormatting>
  <conditionalFormatting sqref="O751:O755">
    <cfRule type="expression" dxfId="0" priority="404">
      <formula>AND($B751&lt;&gt;"",ISBLANK(O751))</formula>
    </cfRule>
  </conditionalFormatting>
  <conditionalFormatting sqref="O757:O758">
    <cfRule type="expression" dxfId="0" priority="382">
      <formula>AND($B757&lt;&gt;"",ISBLANK(O757))</formula>
    </cfRule>
  </conditionalFormatting>
  <conditionalFormatting sqref="O760:O769">
    <cfRule type="expression" dxfId="0" priority="347">
      <formula>AND($B760&lt;&gt;"",ISBLANK(O760))</formula>
    </cfRule>
  </conditionalFormatting>
  <conditionalFormatting sqref="O770:O772">
    <cfRule type="expression" dxfId="0" priority="305">
      <formula>AND($B770&lt;&gt;"",ISBLANK(O770))</formula>
    </cfRule>
  </conditionalFormatting>
  <conditionalFormatting sqref="O773:O782">
    <cfRule type="expression" dxfId="0" priority="48">
      <formula>AND($B773&lt;&gt;"",ISBLANK(O773))</formula>
    </cfRule>
  </conditionalFormatting>
  <conditionalFormatting sqref="P2:P203">
    <cfRule type="expression" dxfId="0" priority="2218">
      <formula>AND($B2&lt;&gt;"",ISBLANK(P2))</formula>
    </cfRule>
  </conditionalFormatting>
  <conditionalFormatting sqref="P546:P563">
    <cfRule type="expression" dxfId="0" priority="1487">
      <formula>AND($B546&lt;&gt;"",ISBLANK(P546))</formula>
    </cfRule>
  </conditionalFormatting>
  <conditionalFormatting sqref="P590:P612">
    <cfRule type="expression" dxfId="0" priority="1438">
      <formula>AND($B590&lt;&gt;"",ISBLANK(P590))</formula>
    </cfRule>
  </conditionalFormatting>
  <conditionalFormatting sqref="P613:P633">
    <cfRule type="expression" dxfId="0" priority="1240">
      <formula>AND($B613&lt;&gt;"",ISBLANK(P613))</formula>
    </cfRule>
  </conditionalFormatting>
  <conditionalFormatting sqref="P684:P703">
    <cfRule type="expression" dxfId="0" priority="952">
      <formula>AND($B684&lt;&gt;"",ISBLANK(P684))</formula>
    </cfRule>
  </conditionalFormatting>
  <conditionalFormatting sqref="P704:P715">
    <cfRule type="expression" dxfId="0" priority="901">
      <formula>AND($B704&lt;&gt;"",ISBLANK(P704))</formula>
    </cfRule>
  </conditionalFormatting>
  <conditionalFormatting sqref="P737:P745">
    <cfRule type="expression" dxfId="0" priority="469">
      <formula>AND($B737&lt;&gt;"",ISBLANK(P737))</formula>
    </cfRule>
  </conditionalFormatting>
  <conditionalFormatting sqref="P746:P750">
    <cfRule type="expression" dxfId="0" priority="449">
      <formula>AND($B746&lt;&gt;"",ISBLANK(P746))</formula>
    </cfRule>
  </conditionalFormatting>
  <conditionalFormatting sqref="P751:P755">
    <cfRule type="expression" dxfId="0" priority="405">
      <formula>AND($B751&lt;&gt;"",ISBLANK(P751))</formula>
    </cfRule>
  </conditionalFormatting>
  <conditionalFormatting sqref="P760:P769">
    <cfRule type="expression" dxfId="0" priority="348">
      <formula>AND($B760&lt;&gt;"",ISBLANK(P760))</formula>
    </cfRule>
  </conditionalFormatting>
  <conditionalFormatting sqref="P770:P772">
    <cfRule type="expression" dxfId="0" priority="306">
      <formula>AND($B770&lt;&gt;"",ISBLANK(P770))</formula>
    </cfRule>
  </conditionalFormatting>
  <conditionalFormatting sqref="P773:P782">
    <cfRule type="expression" dxfId="0" priority="49">
      <formula>AND($B773&lt;&gt;"",ISBLANK(P773))</formula>
    </cfRule>
  </conditionalFormatting>
  <conditionalFormatting sqref="S2:S203">
    <cfRule type="expression" dxfId="0" priority="2219">
      <formula>AND($B2&lt;&gt;"",ISBLANK(S2))</formula>
    </cfRule>
  </conditionalFormatting>
  <conditionalFormatting sqref="S467:S507">
    <cfRule type="expression" dxfId="0" priority="1853" stopIfTrue="1">
      <formula>AND($B467&lt;&gt;"",ISBLANK(S467))</formula>
    </cfRule>
  </conditionalFormatting>
  <conditionalFormatting sqref="S546:S563">
    <cfRule type="expression" dxfId="0" priority="1493">
      <formula>AND($B546&lt;&gt;"",ISBLANK(S546))</formula>
    </cfRule>
  </conditionalFormatting>
  <conditionalFormatting sqref="S590:S612">
    <cfRule type="expression" dxfId="0" priority="1439">
      <formula>AND($B590&lt;&gt;"",ISBLANK(S590))</formula>
    </cfRule>
  </conditionalFormatting>
  <conditionalFormatting sqref="S613:S633">
    <cfRule type="expression" dxfId="0" priority="1241">
      <formula>AND($B613&lt;&gt;"",ISBLANK(S613))</formula>
    </cfRule>
  </conditionalFormatting>
  <conditionalFormatting sqref="S684:S703">
    <cfRule type="expression" dxfId="0" priority="953">
      <formula>AND($B684&lt;&gt;"",ISBLANK(S684))</formula>
    </cfRule>
  </conditionalFormatting>
  <conditionalFormatting sqref="S704:S715">
    <cfRule type="expression" dxfId="0" priority="902">
      <formula>AND($B704&lt;&gt;"",ISBLANK(S704))</formula>
    </cfRule>
  </conditionalFormatting>
  <conditionalFormatting sqref="S737:S745">
    <cfRule type="expression" dxfId="0" priority="470">
      <formula>AND($B737&lt;&gt;"",ISBLANK(S737))</formula>
    </cfRule>
  </conditionalFormatting>
  <conditionalFormatting sqref="S746:S750">
    <cfRule type="expression" dxfId="0" priority="450">
      <formula>AND($B746&lt;&gt;"",ISBLANK(S746))</formula>
    </cfRule>
  </conditionalFormatting>
  <conditionalFormatting sqref="S751:S755">
    <cfRule type="expression" dxfId="0" priority="406">
      <formula>AND($B751&lt;&gt;"",ISBLANK(S751))</formula>
    </cfRule>
  </conditionalFormatting>
  <conditionalFormatting sqref="S760:S769">
    <cfRule type="expression" dxfId="0" priority="349">
      <formula>AND($B760&lt;&gt;"",ISBLANK(S760))</formula>
    </cfRule>
  </conditionalFormatting>
  <conditionalFormatting sqref="S770:S772">
    <cfRule type="expression" dxfId="0" priority="307">
      <formula>AND($B770&lt;&gt;"",ISBLANK(S770))</formula>
    </cfRule>
  </conditionalFormatting>
  <conditionalFormatting sqref="S773:S782">
    <cfRule type="expression" dxfId="0" priority="50">
      <formula>AND($B773&lt;&gt;"",ISBLANK(S773))</formula>
    </cfRule>
  </conditionalFormatting>
  <conditionalFormatting sqref="V2:V203">
    <cfRule type="expression" dxfId="0" priority="2220">
      <formula>AND($B2&lt;&gt;"",ISBLANK(V2))</formula>
    </cfRule>
  </conditionalFormatting>
  <conditionalFormatting sqref="V546:V563">
    <cfRule type="expression" dxfId="0" priority="1490">
      <formula>AND($B546&lt;&gt;"",ISBLANK(V546))</formula>
    </cfRule>
  </conditionalFormatting>
  <conditionalFormatting sqref="V590:V612">
    <cfRule type="expression" dxfId="0" priority="1440">
      <formula>AND($B590&lt;&gt;"",ISBLANK(V590))</formula>
    </cfRule>
  </conditionalFormatting>
  <conditionalFormatting sqref="V613:V633">
    <cfRule type="expression" dxfId="0" priority="1242">
      <formula>AND($B613&lt;&gt;"",ISBLANK(V613))</formula>
    </cfRule>
  </conditionalFormatting>
  <conditionalFormatting sqref="V684:V703">
    <cfRule type="expression" dxfId="0" priority="954">
      <formula>AND($B684&lt;&gt;"",ISBLANK(V684))</formula>
    </cfRule>
  </conditionalFormatting>
  <conditionalFormatting sqref="V704:V715">
    <cfRule type="expression" dxfId="0" priority="903">
      <formula>AND($B704&lt;&gt;"",ISBLANK(V704))</formula>
    </cfRule>
  </conditionalFormatting>
  <conditionalFormatting sqref="V737:V745">
    <cfRule type="expression" dxfId="0" priority="471">
      <formula>AND($B737&lt;&gt;"",ISBLANK(V737))</formula>
    </cfRule>
  </conditionalFormatting>
  <conditionalFormatting sqref="V746:V750">
    <cfRule type="expression" dxfId="0" priority="451">
      <formula>AND($B746&lt;&gt;"",ISBLANK(V746))</formula>
    </cfRule>
  </conditionalFormatting>
  <conditionalFormatting sqref="V751:V755">
    <cfRule type="expression" dxfId="0" priority="407">
      <formula>AND($B751&lt;&gt;"",ISBLANK(V751))</formula>
    </cfRule>
  </conditionalFormatting>
  <conditionalFormatting sqref="V760:V769">
    <cfRule type="expression" dxfId="0" priority="350">
      <formula>AND($B760&lt;&gt;"",ISBLANK(V760))</formula>
    </cfRule>
  </conditionalFormatting>
  <conditionalFormatting sqref="V770:V772">
    <cfRule type="expression" dxfId="0" priority="308">
      <formula>AND($B770&lt;&gt;"",ISBLANK(V770))</formula>
    </cfRule>
  </conditionalFormatting>
  <conditionalFormatting sqref="V773:V782">
    <cfRule type="expression" dxfId="0" priority="51">
      <formula>AND($B773&lt;&gt;"",ISBLANK(V773))</formula>
    </cfRule>
  </conditionalFormatting>
  <conditionalFormatting sqref="W2:W203">
    <cfRule type="expression" dxfId="0" priority="2221">
      <formula>AND($B2&lt;&gt;"",ISBLANK(W2))</formula>
    </cfRule>
  </conditionalFormatting>
  <conditionalFormatting sqref="W416:W417">
    <cfRule type="expression" dxfId="0" priority="2121">
      <formula>AND($B416&lt;&gt;"",ISBLANK(W416))</formula>
    </cfRule>
  </conditionalFormatting>
  <conditionalFormatting sqref="W418:W419">
    <cfRule type="expression" dxfId="0" priority="2120">
      <formula>AND($B418&lt;&gt;"",ISBLANK(W418))</formula>
    </cfRule>
  </conditionalFormatting>
  <conditionalFormatting sqref="W420:W421">
    <cfRule type="expression" dxfId="0" priority="2119">
      <formula>AND($B420&lt;&gt;"",ISBLANK(W420))</formula>
    </cfRule>
  </conditionalFormatting>
  <conditionalFormatting sqref="W422:W423">
    <cfRule type="expression" dxfId="0" priority="2118">
      <formula>AND($B422&lt;&gt;"",ISBLANK(W422))</formula>
    </cfRule>
  </conditionalFormatting>
  <conditionalFormatting sqref="W438:W450">
    <cfRule type="expression" dxfId="0" priority="2231">
      <formula>AND($B439&lt;&gt;"",ISBLANK(W438))</formula>
    </cfRule>
  </conditionalFormatting>
  <conditionalFormatting sqref="W451:W466">
    <cfRule type="expression" dxfId="0" priority="2234">
      <formula>AND($B453&lt;&gt;"",ISBLANK(W451))</formula>
    </cfRule>
  </conditionalFormatting>
  <conditionalFormatting sqref="W613:W633">
    <cfRule type="expression" dxfId="0" priority="1243">
      <formula>AND($B613&lt;&gt;"",ISBLANK(W613))</formula>
    </cfRule>
  </conditionalFormatting>
  <conditionalFormatting sqref="W684:W703">
    <cfRule type="expression" dxfId="0" priority="955">
      <formula>AND($B684&lt;&gt;"",ISBLANK(W684))</formula>
    </cfRule>
  </conditionalFormatting>
  <conditionalFormatting sqref="W704:W715">
    <cfRule type="expression" dxfId="0" priority="904">
      <formula>AND($B704&lt;&gt;"",ISBLANK(W704))</formula>
    </cfRule>
  </conditionalFormatting>
  <conditionalFormatting sqref="W737:W745">
    <cfRule type="expression" dxfId="0" priority="472">
      <formula>AND($B737&lt;&gt;"",ISBLANK(W737))</formula>
    </cfRule>
  </conditionalFormatting>
  <conditionalFormatting sqref="W746:W750">
    <cfRule type="expression" dxfId="0" priority="452">
      <formula>AND($B746&lt;&gt;"",ISBLANK(W746))</formula>
    </cfRule>
  </conditionalFormatting>
  <conditionalFormatting sqref="W751:W755">
    <cfRule type="expression" dxfId="0" priority="408">
      <formula>AND($B751&lt;&gt;"",ISBLANK(W751))</formula>
    </cfRule>
  </conditionalFormatting>
  <conditionalFormatting sqref="W756:W758">
    <cfRule type="expression" dxfId="0" priority="381">
      <formula>AND($B756&lt;&gt;"",ISBLANK(W756))</formula>
    </cfRule>
  </conditionalFormatting>
  <conditionalFormatting sqref="W760:W769">
    <cfRule type="expression" dxfId="0" priority="351">
      <formula>AND($B760&lt;&gt;"",ISBLANK(W760))</formula>
    </cfRule>
  </conditionalFormatting>
  <conditionalFormatting sqref="W770:W772">
    <cfRule type="expression" dxfId="0" priority="309">
      <formula>AND($B770&lt;&gt;"",ISBLANK(W770))</formula>
    </cfRule>
  </conditionalFormatting>
  <conditionalFormatting sqref="W773:W782">
    <cfRule type="expression" dxfId="0" priority="52">
      <formula>AND($B773&lt;&gt;"",ISBLANK(W773))</formula>
    </cfRule>
  </conditionalFormatting>
  <conditionalFormatting sqref="X2:X203">
    <cfRule type="expression" dxfId="0" priority="2222">
      <formula>AND($B2&lt;&gt;"",ISBLANK(X2))</formula>
    </cfRule>
  </conditionalFormatting>
  <conditionalFormatting sqref="X416:X417">
    <cfRule type="expression" dxfId="0" priority="2125">
      <formula>AND($B416&lt;&gt;"",ISBLANK(X416))</formula>
    </cfRule>
  </conditionalFormatting>
  <conditionalFormatting sqref="X418:X419">
    <cfRule type="expression" dxfId="0" priority="2124">
      <formula>AND($B418&lt;&gt;"",ISBLANK(X418))</formula>
    </cfRule>
  </conditionalFormatting>
  <conditionalFormatting sqref="X420:X421">
    <cfRule type="expression" dxfId="0" priority="2123">
      <formula>AND($B420&lt;&gt;"",ISBLANK(X420))</formula>
    </cfRule>
  </conditionalFormatting>
  <conditionalFormatting sqref="X422:X423">
    <cfRule type="expression" dxfId="0" priority="2122">
      <formula>AND($B422&lt;&gt;"",ISBLANK(X422))</formula>
    </cfRule>
  </conditionalFormatting>
  <conditionalFormatting sqref="X438:X450">
    <cfRule type="expression" dxfId="0" priority="2232">
      <formula>AND($B439&lt;&gt;"",ISBLANK(X438))</formula>
    </cfRule>
  </conditionalFormatting>
  <conditionalFormatting sqref="X451:X466">
    <cfRule type="expression" dxfId="0" priority="2235">
      <formula>AND($B453&lt;&gt;"",ISBLANK(X451))</formula>
    </cfRule>
  </conditionalFormatting>
  <conditionalFormatting sqref="X613:X633">
    <cfRule type="expression" dxfId="0" priority="1244">
      <formula>AND($B613&lt;&gt;"",ISBLANK(X613))</formula>
    </cfRule>
  </conditionalFormatting>
  <conditionalFormatting sqref="X684:X703">
    <cfRule type="expression" dxfId="0" priority="956">
      <formula>AND($B684&lt;&gt;"",ISBLANK(X684))</formula>
    </cfRule>
  </conditionalFormatting>
  <conditionalFormatting sqref="X704:X715">
    <cfRule type="expression" dxfId="0" priority="905">
      <formula>AND($B704&lt;&gt;"",ISBLANK(X704))</formula>
    </cfRule>
  </conditionalFormatting>
  <conditionalFormatting sqref="X737:X745">
    <cfRule type="expression" dxfId="0" priority="473">
      <formula>AND($B737&lt;&gt;"",ISBLANK(X737))</formula>
    </cfRule>
  </conditionalFormatting>
  <conditionalFormatting sqref="X746:X750">
    <cfRule type="expression" dxfId="0" priority="453">
      <formula>AND($B746&lt;&gt;"",ISBLANK(X746))</formula>
    </cfRule>
  </conditionalFormatting>
  <conditionalFormatting sqref="X751:X754">
    <cfRule type="expression" dxfId="0" priority="398">
      <formula>AND($B751&lt;&gt;"",ISBLANK(X751))</formula>
    </cfRule>
  </conditionalFormatting>
  <conditionalFormatting sqref="X756:X759">
    <cfRule type="expression" dxfId="0" priority="179">
      <formula>AND($B756&lt;&gt;"",ISBLANK(X756))</formula>
    </cfRule>
  </conditionalFormatting>
  <conditionalFormatting sqref="X760:X769">
    <cfRule type="expression" dxfId="0" priority="352">
      <formula>AND($B760&lt;&gt;"",ISBLANK(X760))</formula>
    </cfRule>
  </conditionalFormatting>
  <conditionalFormatting sqref="X770:X772">
    <cfRule type="expression" dxfId="0" priority="310">
      <formula>AND($B770&lt;&gt;"",ISBLANK(X770))</formula>
    </cfRule>
  </conditionalFormatting>
  <conditionalFormatting sqref="Y2:Y203">
    <cfRule type="expression" dxfId="0" priority="2206">
      <formula>AND($B2&lt;&gt;"",ISBLANK(Y2))</formula>
    </cfRule>
  </conditionalFormatting>
  <conditionalFormatting sqref="Y416:Y417">
    <cfRule type="expression" dxfId="0" priority="2117">
      <formula>AND($B416&lt;&gt;"",ISBLANK(Y416))</formula>
    </cfRule>
  </conditionalFormatting>
  <conditionalFormatting sqref="Y418:Y419">
    <cfRule type="expression" dxfId="0" priority="2116">
      <formula>AND($B418&lt;&gt;"",ISBLANK(Y418))</formula>
    </cfRule>
  </conditionalFormatting>
  <conditionalFormatting sqref="Y420:Y421">
    <cfRule type="expression" dxfId="0" priority="2115">
      <formula>AND($B420&lt;&gt;"",ISBLANK(Y420))</formula>
    </cfRule>
  </conditionalFormatting>
  <conditionalFormatting sqref="Y422:Y423">
    <cfRule type="expression" dxfId="0" priority="2114">
      <formula>AND($B422&lt;&gt;"",ISBLANK(Y422))</formula>
    </cfRule>
  </conditionalFormatting>
  <conditionalFormatting sqref="Y438:Y450">
    <cfRule type="expression" dxfId="0" priority="2233">
      <formula>AND($B439&lt;&gt;"",ISBLANK(Y438))</formula>
    </cfRule>
  </conditionalFormatting>
  <conditionalFormatting sqref="Y451:Y466">
    <cfRule type="expression" dxfId="0" priority="2236">
      <formula>AND($B453&lt;&gt;"",ISBLANK(Y451))</formula>
    </cfRule>
  </conditionalFormatting>
  <conditionalFormatting sqref="Y508:Y545">
    <cfRule type="expression" dxfId="0" priority="1805">
      <formula>AND($B508&lt;&gt;"",ISBLANK(Y508))</formula>
    </cfRule>
  </conditionalFormatting>
  <conditionalFormatting sqref="Y613:Y633">
    <cfRule type="expression" dxfId="0" priority="1238">
      <formula>AND($B613&lt;&gt;"",ISBLANK(Y613))</formula>
    </cfRule>
  </conditionalFormatting>
  <conditionalFormatting sqref="Y684:Y703">
    <cfRule type="expression" dxfId="0" priority="950">
      <formula>AND($B684&lt;&gt;"",ISBLANK(Y684))</formula>
    </cfRule>
  </conditionalFormatting>
  <conditionalFormatting sqref="Y704:Y715">
    <cfRule type="expression" dxfId="0" priority="899">
      <formula>AND($B704&lt;&gt;"",ISBLANK(Y704))</formula>
    </cfRule>
  </conditionalFormatting>
  <conditionalFormatting sqref="Y737:Y745">
    <cfRule type="expression" dxfId="0" priority="457">
      <formula>AND($B737&lt;&gt;"",ISBLANK(Y737))</formula>
    </cfRule>
  </conditionalFormatting>
  <conditionalFormatting sqref="Y746:Y750">
    <cfRule type="expression" dxfId="0" priority="437">
      <formula>AND($B746&lt;&gt;"",ISBLANK(Y746))</formula>
    </cfRule>
  </conditionalFormatting>
  <conditionalFormatting sqref="Y751:Y755">
    <cfRule type="expression" dxfId="0" priority="403">
      <formula>AND($B751&lt;&gt;"",ISBLANK(Y751))</formula>
    </cfRule>
  </conditionalFormatting>
  <conditionalFormatting sqref="Y756:Y759">
    <cfRule type="expression" dxfId="0" priority="178">
      <formula>AND($B756&lt;&gt;"",ISBLANK(Y756))</formula>
    </cfRule>
  </conditionalFormatting>
  <conditionalFormatting sqref="Y760:Y769">
    <cfRule type="expression" dxfId="0" priority="346">
      <formula>AND($B760&lt;&gt;"",ISBLANK(Y760))</formula>
    </cfRule>
  </conditionalFormatting>
  <conditionalFormatting sqref="Y770:Y772">
    <cfRule type="expression" dxfId="0" priority="304">
      <formula>AND($B770&lt;&gt;"",ISBLANK(Y770))</formula>
    </cfRule>
  </conditionalFormatting>
  <conditionalFormatting sqref="Y773:Y775">
    <cfRule type="expression" dxfId="0" priority="39">
      <formula>AND($B773&lt;&gt;"",ISBLANK(Y773))</formula>
    </cfRule>
  </conditionalFormatting>
  <conditionalFormatting sqref="Y776:Y778">
    <cfRule type="expression" dxfId="0" priority="37">
      <formula>AND($B776&lt;&gt;"",ISBLANK(Y776))</formula>
    </cfRule>
  </conditionalFormatting>
  <conditionalFormatting sqref="Y779:Y783">
    <cfRule type="expression" dxfId="0" priority="35">
      <formula>AND($B779&lt;&gt;"",ISBLANK(Y779))</formula>
    </cfRule>
  </conditionalFormatting>
  <conditionalFormatting sqref="Z2:Z203">
    <cfRule type="expression" dxfId="0" priority="2223">
      <formula>AND($B2&lt;&gt;"",ISBLANK(Z2))</formula>
    </cfRule>
  </conditionalFormatting>
  <conditionalFormatting sqref="Z438:Z440">
    <cfRule type="expression" dxfId="0" priority="156">
      <formula>AND($B438&lt;&gt;"",ISBLANK(Z438))</formula>
    </cfRule>
  </conditionalFormatting>
  <conditionalFormatting sqref="Z442:Z445">
    <cfRule type="expression" dxfId="0" priority="154">
      <formula>AND($B442&lt;&gt;"",ISBLANK(Z442))</formula>
    </cfRule>
  </conditionalFormatting>
  <conditionalFormatting sqref="Z447:Z449">
    <cfRule type="expression" dxfId="0" priority="152">
      <formula>AND($B447&lt;&gt;"",ISBLANK(Z447))</formula>
    </cfRule>
  </conditionalFormatting>
  <conditionalFormatting sqref="Z451:Z454">
    <cfRule type="expression" dxfId="0" priority="150">
      <formula>AND($B451&lt;&gt;"",ISBLANK(Z451))</formula>
    </cfRule>
  </conditionalFormatting>
  <conditionalFormatting sqref="Z456:Z458">
    <cfRule type="expression" dxfId="0" priority="148">
      <formula>AND($B456&lt;&gt;"",ISBLANK(Z456))</formula>
    </cfRule>
  </conditionalFormatting>
  <conditionalFormatting sqref="Z460:Z463">
    <cfRule type="expression" dxfId="0" priority="146">
      <formula>AND($B460&lt;&gt;"",ISBLANK(Z460))</formula>
    </cfRule>
  </conditionalFormatting>
  <conditionalFormatting sqref="Z465:Z466">
    <cfRule type="expression" dxfId="0" priority="144">
      <formula>AND($B465&lt;&gt;"",ISBLANK(Z465))</formula>
    </cfRule>
  </conditionalFormatting>
  <conditionalFormatting sqref="Z508:Z545">
    <cfRule type="expression" dxfId="0" priority="1812">
      <formula>AND($B508&lt;&gt;"",ISBLANK(Z508))</formula>
    </cfRule>
  </conditionalFormatting>
  <conditionalFormatting sqref="Z546:Z553">
    <cfRule type="expression" dxfId="0" priority="1499">
      <formula>AND($B546&lt;&gt;"",ISBLANK(Z546))</formula>
    </cfRule>
  </conditionalFormatting>
  <conditionalFormatting sqref="Z613:Z633">
    <cfRule type="expression" dxfId="0" priority="1245">
      <formula>AND($B613&lt;&gt;"",ISBLANK(Z613))</formula>
    </cfRule>
  </conditionalFormatting>
  <conditionalFormatting sqref="Z684:Z703">
    <cfRule type="expression" dxfId="0" priority="957">
      <formula>AND($B684&lt;&gt;"",ISBLANK(Z684))</formula>
    </cfRule>
  </conditionalFormatting>
  <conditionalFormatting sqref="Z704:Z715">
    <cfRule type="expression" dxfId="0" priority="906">
      <formula>AND($B704&lt;&gt;"",ISBLANK(Z704))</formula>
    </cfRule>
  </conditionalFormatting>
  <conditionalFormatting sqref="Z737:Z745">
    <cfRule type="expression" dxfId="0" priority="474">
      <formula>AND($B737&lt;&gt;"",ISBLANK(Z737))</formula>
    </cfRule>
  </conditionalFormatting>
  <conditionalFormatting sqref="Z746:Z750">
    <cfRule type="expression" dxfId="0" priority="454">
      <formula>AND($B746&lt;&gt;"",ISBLANK(Z746))</formula>
    </cfRule>
  </conditionalFormatting>
  <conditionalFormatting sqref="Z751:Z755">
    <cfRule type="expression" dxfId="0" priority="410">
      <formula>AND($B751&lt;&gt;"",ISBLANK(Z751))</formula>
    </cfRule>
  </conditionalFormatting>
  <conditionalFormatting sqref="Z756:Z759">
    <cfRule type="expression" dxfId="0" priority="177">
      <formula>AND($B756&lt;&gt;"",ISBLANK(Z756))</formula>
    </cfRule>
  </conditionalFormatting>
  <conditionalFormatting sqref="Z760:Z769">
    <cfRule type="expression" dxfId="0" priority="172">
      <formula>AND($B760&lt;&gt;"",ISBLANK(Z760))</formula>
    </cfRule>
  </conditionalFormatting>
  <conditionalFormatting sqref="Z770:Z772">
    <cfRule type="expression" dxfId="0" priority="311">
      <formula>AND($B770&lt;&gt;"",ISBLANK(Z770))</formula>
    </cfRule>
  </conditionalFormatting>
  <conditionalFormatting sqref="Z773:Z775">
    <cfRule type="expression" dxfId="0" priority="40">
      <formula>AND($B773&lt;&gt;"",ISBLANK(Z773))</formula>
    </cfRule>
  </conditionalFormatting>
  <conditionalFormatting sqref="Z776:Z778">
    <cfRule type="expression" dxfId="0" priority="38">
      <formula>AND($B776&lt;&gt;"",ISBLANK(Z776))</formula>
    </cfRule>
  </conditionalFormatting>
  <conditionalFormatting sqref="Z779:Z783">
    <cfRule type="expression" dxfId="0" priority="36">
      <formula>AND($B779&lt;&gt;"",ISBLANK(Z779))</formula>
    </cfRule>
  </conditionalFormatting>
  <conditionalFormatting sqref="AA2:AA203">
    <cfRule type="expression" dxfId="0" priority="2203">
      <formula>AND($B2&lt;&gt;"",ISBLANK(AA2))</formula>
    </cfRule>
  </conditionalFormatting>
  <conditionalFormatting sqref="AA341:AA391">
    <cfRule type="expression" dxfId="0" priority="2155">
      <formula>AND($B341&lt;&gt;"",ISBLANK(AA341))</formula>
    </cfRule>
  </conditionalFormatting>
  <conditionalFormatting sqref="AA438:AA448">
    <cfRule type="expression" dxfId="0" priority="1952">
      <formula>AND($B438&lt;&gt;"",ISBLANK(AA438))</formula>
    </cfRule>
  </conditionalFormatting>
  <conditionalFormatting sqref="AA451:AA466">
    <cfRule type="expression" dxfId="0" priority="1946">
      <formula>AND($B449&lt;&gt;"",ISBLANK(AA451))</formula>
    </cfRule>
  </conditionalFormatting>
  <conditionalFormatting sqref="AA508:AA545">
    <cfRule type="expression" dxfId="0" priority="1632">
      <formula>AND($B508&lt;&gt;"",ISBLANK(AA508))</formula>
    </cfRule>
  </conditionalFormatting>
  <conditionalFormatting sqref="AA546:AA553">
    <cfRule type="expression" dxfId="0" priority="1473">
      <formula>AND($B546&lt;&gt;"",ISBLANK(AA546))</formula>
    </cfRule>
  </conditionalFormatting>
  <conditionalFormatting sqref="AA613:AA633">
    <cfRule type="expression" dxfId="0" priority="1233">
      <formula>AND($B613&lt;&gt;"",ISBLANK(AA613))</formula>
    </cfRule>
  </conditionalFormatting>
  <conditionalFormatting sqref="AA634:AA661">
    <cfRule type="expression" dxfId="0" priority="1151">
      <formula>AND($B634&lt;&gt;"",ISBLANK(AA634))</formula>
    </cfRule>
  </conditionalFormatting>
  <conditionalFormatting sqref="AA684:AA703">
    <cfRule type="expression" dxfId="0" priority="947">
      <formula>AND($B684&lt;&gt;"",ISBLANK(AA684))</formula>
    </cfRule>
  </conditionalFormatting>
  <conditionalFormatting sqref="AA704:AA715">
    <cfRule type="expression" dxfId="0" priority="893">
      <formula>AND($B704&lt;&gt;"",ISBLANK(AA704))</formula>
    </cfRule>
  </conditionalFormatting>
  <conditionalFormatting sqref="AA737:AA745">
    <cfRule type="expression" dxfId="0" priority="456">
      <formula>AND($B737&lt;&gt;"",ISBLANK(AA737))</formula>
    </cfRule>
  </conditionalFormatting>
  <conditionalFormatting sqref="AA746:AA750">
    <cfRule type="expression" dxfId="0" priority="435">
      <formula>AND($B746&lt;&gt;"",ISBLANK(AA746))</formula>
    </cfRule>
  </conditionalFormatting>
  <conditionalFormatting sqref="AA751:AA755">
    <cfRule type="expression" dxfId="0" priority="400">
      <formula>AND($B751&lt;&gt;"",ISBLANK(AA751))</formula>
    </cfRule>
  </conditionalFormatting>
  <conditionalFormatting sqref="AA756:AA759">
    <cfRule type="expression" dxfId="0" priority="176">
      <formula>AND($B756&lt;&gt;"",ISBLANK(AA756))</formula>
    </cfRule>
  </conditionalFormatting>
  <conditionalFormatting sqref="AA760:AA769">
    <cfRule type="expression" dxfId="0" priority="345">
      <formula>AND($B760&lt;&gt;"",ISBLANK(AA760))</formula>
    </cfRule>
  </conditionalFormatting>
  <conditionalFormatting sqref="AA770:AA772">
    <cfRule type="expression" dxfId="0" priority="299">
      <formula>AND($B770&lt;&gt;"",ISBLANK(AA770))</formula>
    </cfRule>
  </conditionalFormatting>
  <conditionalFormatting sqref="AA773:AA775">
    <cfRule type="expression" dxfId="0" priority="33">
      <formula>AND($B773&lt;&gt;"",ISBLANK(AA773))</formula>
    </cfRule>
  </conditionalFormatting>
  <conditionalFormatting sqref="AA776:AA778">
    <cfRule type="expression" dxfId="0" priority="31">
      <formula>AND($B776&lt;&gt;"",ISBLANK(AA776))</formula>
    </cfRule>
  </conditionalFormatting>
  <conditionalFormatting sqref="AA779:AA783">
    <cfRule type="expression" dxfId="0" priority="29">
      <formula>AND($B779&lt;&gt;"",ISBLANK(AA779))</formula>
    </cfRule>
  </conditionalFormatting>
  <conditionalFormatting sqref="AB2:AB203">
    <cfRule type="expression" dxfId="0" priority="2202">
      <formula>AND($B2&lt;&gt;"",ISBLANK(AB2))</formula>
    </cfRule>
  </conditionalFormatting>
  <conditionalFormatting sqref="AB341:AB391">
    <cfRule type="expression" dxfId="0" priority="2154">
      <formula>AND($B341&lt;&gt;"",ISBLANK(AB341))</formula>
    </cfRule>
  </conditionalFormatting>
  <conditionalFormatting sqref="AB438:AB448">
    <cfRule type="expression" dxfId="0" priority="1951">
      <formula>AND($B438&lt;&gt;"",ISBLANK(AB438))</formula>
    </cfRule>
  </conditionalFormatting>
  <conditionalFormatting sqref="AB451:AB466">
    <cfRule type="expression" dxfId="0" priority="1945">
      <formula>AND($B449&lt;&gt;"",ISBLANK(AB451))</formula>
    </cfRule>
  </conditionalFormatting>
  <conditionalFormatting sqref="AB508:AB545">
    <cfRule type="expression" dxfId="0" priority="1631">
      <formula>AND($B508&lt;&gt;"",ISBLANK(AB508))</formula>
    </cfRule>
  </conditionalFormatting>
  <conditionalFormatting sqref="AB613:AB633">
    <cfRule type="expression" dxfId="0" priority="1232">
      <formula>AND($B613&lt;&gt;"",ISBLANK(AB613))</formula>
    </cfRule>
  </conditionalFormatting>
  <conditionalFormatting sqref="AB634:AB661">
    <cfRule type="expression" dxfId="0" priority="1150">
      <formula>AND($B634&lt;&gt;"",ISBLANK(AB634))</formula>
    </cfRule>
  </conditionalFormatting>
  <conditionalFormatting sqref="AB684:AB703">
    <cfRule type="expression" dxfId="0" priority="946">
      <formula>AND($B684&lt;&gt;"",ISBLANK(AB684))</formula>
    </cfRule>
  </conditionalFormatting>
  <conditionalFormatting sqref="AB704:AB715">
    <cfRule type="expression" dxfId="0" priority="892">
      <formula>AND($B704&lt;&gt;"",ISBLANK(AB704))</formula>
    </cfRule>
  </conditionalFormatting>
  <conditionalFormatting sqref="AB716:AB720">
    <cfRule type="expression" dxfId="0" priority="850">
      <formula>AND($C716&lt;&gt;"",ISBLANK(AB716))</formula>
    </cfRule>
  </conditionalFormatting>
  <conditionalFormatting sqref="AB726:AB728">
    <cfRule type="expression" dxfId="0" priority="688">
      <formula>AND($C726&lt;&gt;"",ISBLANK(AB726))</formula>
    </cfRule>
  </conditionalFormatting>
  <conditionalFormatting sqref="AB734:AB736">
    <cfRule type="expression" dxfId="0" priority="562">
      <formula>AND($C734&lt;&gt;"",ISBLANK(AB734))</formula>
    </cfRule>
  </conditionalFormatting>
  <conditionalFormatting sqref="AB737:AB745">
    <cfRule type="expression" dxfId="0" priority="455">
      <formula>AND($B737&lt;&gt;"",ISBLANK(AB737))</formula>
    </cfRule>
  </conditionalFormatting>
  <conditionalFormatting sqref="AB746:AB750">
    <cfRule type="expression" dxfId="0" priority="434">
      <formula>AND($B746&lt;&gt;"",ISBLANK(AB746))</formula>
    </cfRule>
  </conditionalFormatting>
  <conditionalFormatting sqref="AB751:AB755">
    <cfRule type="expression" dxfId="0" priority="399">
      <formula>AND($B751&lt;&gt;"",ISBLANK(AB751))</formula>
    </cfRule>
  </conditionalFormatting>
  <conditionalFormatting sqref="AB756:AB759">
    <cfRule type="expression" dxfId="0" priority="175">
      <formula>AND($B756&lt;&gt;"",ISBLANK(AB756))</formula>
    </cfRule>
  </conditionalFormatting>
  <conditionalFormatting sqref="AB760:AB761">
    <cfRule type="expression" dxfId="0" priority="107">
      <formula>AND($B760&lt;&gt;"",ISBLANK(AB760))</formula>
    </cfRule>
  </conditionalFormatting>
  <conditionalFormatting sqref="AB762:AB763">
    <cfRule type="expression" dxfId="0" priority="104">
      <formula>AND($B762&lt;&gt;"",ISBLANK(AB762))</formula>
    </cfRule>
  </conditionalFormatting>
  <conditionalFormatting sqref="AB764:AB765">
    <cfRule type="expression" dxfId="0" priority="101">
      <formula>AND($B764&lt;&gt;"",ISBLANK(AB764))</formula>
    </cfRule>
  </conditionalFormatting>
  <conditionalFormatting sqref="AB766:AB767">
    <cfRule type="expression" dxfId="0" priority="98">
      <formula>AND($B766&lt;&gt;"",ISBLANK(AB766))</formula>
    </cfRule>
  </conditionalFormatting>
  <conditionalFormatting sqref="AB768:AB769">
    <cfRule type="expression" dxfId="0" priority="95">
      <formula>AND($B768&lt;&gt;"",ISBLANK(AB768))</formula>
    </cfRule>
  </conditionalFormatting>
  <conditionalFormatting sqref="AB773:AB775">
    <cfRule type="expression" dxfId="0" priority="34">
      <formula>AND($B773&lt;&gt;"",ISBLANK(AB773))</formula>
    </cfRule>
  </conditionalFormatting>
  <conditionalFormatting sqref="AB776:AB778">
    <cfRule type="expression" dxfId="0" priority="32">
      <formula>AND($B776&lt;&gt;"",ISBLANK(AB776))</formula>
    </cfRule>
  </conditionalFormatting>
  <conditionalFormatting sqref="AB779:AB783">
    <cfRule type="expression" dxfId="0" priority="30">
      <formula>AND($B779&lt;&gt;"",ISBLANK(AB779))</formula>
    </cfRule>
  </conditionalFormatting>
  <conditionalFormatting sqref="AC2:AC203">
    <cfRule type="expression" dxfId="0" priority="2205">
      <formula>AND($B2&lt;&gt;"",ISBLANK(AC2))</formula>
    </cfRule>
  </conditionalFormatting>
  <conditionalFormatting sqref="AC341:AC391">
    <cfRule type="expression" dxfId="0" priority="2157">
      <formula>AND($B341&lt;&gt;"",ISBLANK(AC341))</formula>
    </cfRule>
  </conditionalFormatting>
  <conditionalFormatting sqref="AC438:AC448">
    <cfRule type="expression" dxfId="0" priority="1954">
      <formula>AND($B438&lt;&gt;"",ISBLANK(AC438))</formula>
    </cfRule>
  </conditionalFormatting>
  <conditionalFormatting sqref="AC451:AC466">
    <cfRule type="expression" dxfId="0" priority="1948">
      <formula>AND($B449&lt;&gt;"",ISBLANK(AC451))</formula>
    </cfRule>
  </conditionalFormatting>
  <conditionalFormatting sqref="AC508:AC545">
    <cfRule type="expression" dxfId="0" priority="1634">
      <formula>AND($B508&lt;&gt;"",ISBLANK(AC508))</formula>
    </cfRule>
  </conditionalFormatting>
  <conditionalFormatting sqref="AC546:AC552">
    <cfRule type="expression" dxfId="0" priority="1470">
      <formula>AND($B546&lt;&gt;"",ISBLANK(AC546))</formula>
    </cfRule>
  </conditionalFormatting>
  <conditionalFormatting sqref="AC559:AC560">
    <cfRule type="expression" dxfId="0" priority="1471">
      <formula>AND($B559&lt;&gt;"",ISBLANK(AC559))</formula>
    </cfRule>
  </conditionalFormatting>
  <conditionalFormatting sqref="AC613:AC633">
    <cfRule type="expression" dxfId="0" priority="1235">
      <formula>AND($B613&lt;&gt;"",ISBLANK(AC613))</formula>
    </cfRule>
  </conditionalFormatting>
  <conditionalFormatting sqref="AC634:AC661">
    <cfRule type="expression" dxfId="0" priority="1153">
      <formula>AND($B634&lt;&gt;"",ISBLANK(AC634))</formula>
    </cfRule>
  </conditionalFormatting>
  <conditionalFormatting sqref="AC684:AC703">
    <cfRule type="expression" dxfId="0" priority="949">
      <formula>AND($B684&lt;&gt;"",ISBLANK(AC684))</formula>
    </cfRule>
  </conditionalFormatting>
  <conditionalFormatting sqref="AC704:AC715">
    <cfRule type="expression" dxfId="0" priority="895">
      <formula>AND($B704&lt;&gt;"",ISBLANK(AC704))</formula>
    </cfRule>
  </conditionalFormatting>
  <conditionalFormatting sqref="AC748:AC750">
    <cfRule type="expression" dxfId="0" priority="436">
      <formula>AND($B748&lt;&gt;"",ISBLANK(AC748))</formula>
    </cfRule>
  </conditionalFormatting>
  <conditionalFormatting sqref="AC751:AC754">
    <cfRule type="expression" dxfId="0" priority="397">
      <formula>AND($B751&lt;&gt;"",ISBLANK(AC751))</formula>
    </cfRule>
  </conditionalFormatting>
  <conditionalFormatting sqref="AC756:AC759">
    <cfRule type="expression" dxfId="0" priority="174">
      <formula>AND($B756&lt;&gt;"",ISBLANK(AC756))</formula>
    </cfRule>
  </conditionalFormatting>
  <conditionalFormatting sqref="AC760:AC761">
    <cfRule type="expression" dxfId="0" priority="106">
      <formula>AND($B760&lt;&gt;"",ISBLANK(AC760))</formula>
    </cfRule>
  </conditionalFormatting>
  <conditionalFormatting sqref="AC762:AC763">
    <cfRule type="expression" dxfId="0" priority="103">
      <formula>AND($B762&lt;&gt;"",ISBLANK(AC762))</formula>
    </cfRule>
  </conditionalFormatting>
  <conditionalFormatting sqref="AC764:AC765">
    <cfRule type="expression" dxfId="0" priority="100">
      <formula>AND($B764&lt;&gt;"",ISBLANK(AC764))</formula>
    </cfRule>
  </conditionalFormatting>
  <conditionalFormatting sqref="AC766:AC767">
    <cfRule type="expression" dxfId="0" priority="97">
      <formula>AND($B766&lt;&gt;"",ISBLANK(AC766))</formula>
    </cfRule>
  </conditionalFormatting>
  <conditionalFormatting sqref="AC768:AC769">
    <cfRule type="expression" dxfId="0" priority="94">
      <formula>AND($B768&lt;&gt;"",ISBLANK(AC768))</formula>
    </cfRule>
  </conditionalFormatting>
  <conditionalFormatting sqref="AC770:AC772">
    <cfRule type="expression" dxfId="0" priority="77">
      <formula>AND($B770&lt;&gt;"",ISBLANK(AC770))</formula>
    </cfRule>
  </conditionalFormatting>
  <conditionalFormatting sqref="AC773:AC775">
    <cfRule type="expression" dxfId="0" priority="27">
      <formula>AND($B773&lt;&gt;"",ISBLANK(AC773))</formula>
    </cfRule>
  </conditionalFormatting>
  <conditionalFormatting sqref="AC776:AC778">
    <cfRule type="expression" dxfId="0" priority="25">
      <formula>AND($B776&lt;&gt;"",ISBLANK(AC776))</formula>
    </cfRule>
  </conditionalFormatting>
  <conditionalFormatting sqref="AC779:AC783">
    <cfRule type="expression" dxfId="0" priority="23">
      <formula>AND($B779&lt;&gt;"",ISBLANK(AC779))</formula>
    </cfRule>
  </conditionalFormatting>
  <conditionalFormatting sqref="AD2:AD203">
    <cfRule type="expression" dxfId="0" priority="2204">
      <formula>AND($B2&lt;&gt;"",ISBLANK(AD2))</formula>
    </cfRule>
  </conditionalFormatting>
  <conditionalFormatting sqref="AD341:AD391">
    <cfRule type="expression" dxfId="0" priority="2156">
      <formula>AND($B341&lt;&gt;"",ISBLANK(AD341))</formula>
    </cfRule>
  </conditionalFormatting>
  <conditionalFormatting sqref="AD438:AD448">
    <cfRule type="expression" dxfId="0" priority="1953">
      <formula>AND($B438&lt;&gt;"",ISBLANK(AD438))</formula>
    </cfRule>
  </conditionalFormatting>
  <conditionalFormatting sqref="AD451:AD466">
    <cfRule type="expression" dxfId="0" priority="1947">
      <formula>AND($B449&lt;&gt;"",ISBLANK(AD451))</formula>
    </cfRule>
  </conditionalFormatting>
  <conditionalFormatting sqref="AD508:AD545">
    <cfRule type="expression" dxfId="0" priority="1633">
      <formula>AND($B508&lt;&gt;"",ISBLANK(AD508))</formula>
    </cfRule>
  </conditionalFormatting>
  <conditionalFormatting sqref="AD613:AD633">
    <cfRule type="expression" dxfId="0" priority="1234">
      <formula>AND($B613&lt;&gt;"",ISBLANK(AD613))</formula>
    </cfRule>
  </conditionalFormatting>
  <conditionalFormatting sqref="AD634:AD661">
    <cfRule type="expression" dxfId="0" priority="1152">
      <formula>AND($B634&lt;&gt;"",ISBLANK(AD634))</formula>
    </cfRule>
  </conditionalFormatting>
  <conditionalFormatting sqref="AD684:AD703">
    <cfRule type="expression" dxfId="0" priority="948">
      <formula>AND($B684&lt;&gt;"",ISBLANK(AD684))</formula>
    </cfRule>
  </conditionalFormatting>
  <conditionalFormatting sqref="AD704:AD715">
    <cfRule type="expression" dxfId="0" priority="894">
      <formula>AND($B704&lt;&gt;"",ISBLANK(AD704))</formula>
    </cfRule>
  </conditionalFormatting>
  <conditionalFormatting sqref="AD727:AD728">
    <cfRule type="expression" dxfId="0" priority="690">
      <formula>AND($C727&lt;&gt;"",ISBLANK(AD727))</formula>
    </cfRule>
  </conditionalFormatting>
  <conditionalFormatting sqref="AD735:AD736">
    <cfRule type="expression" dxfId="0" priority="564">
      <formula>AND($C735&lt;&gt;"",ISBLANK(AD735))</formula>
    </cfRule>
  </conditionalFormatting>
  <conditionalFormatting sqref="AD751:AD755">
    <cfRule type="expression" dxfId="0" priority="401">
      <formula>AND($B751&lt;&gt;"",ISBLANK(AD751))</formula>
    </cfRule>
  </conditionalFormatting>
  <conditionalFormatting sqref="AD756:AD759">
    <cfRule type="expression" dxfId="0" priority="173">
      <formula>AND($B756&lt;&gt;"",ISBLANK(AD756))</formula>
    </cfRule>
  </conditionalFormatting>
  <conditionalFormatting sqref="AD760:AD761">
    <cfRule type="expression" dxfId="0" priority="105">
      <formula>AND($B760&lt;&gt;"",ISBLANK(AD760))</formula>
    </cfRule>
  </conditionalFormatting>
  <conditionalFormatting sqref="AD762:AD763">
    <cfRule type="expression" dxfId="0" priority="102">
      <formula>AND($B762&lt;&gt;"",ISBLANK(AD762))</formula>
    </cfRule>
  </conditionalFormatting>
  <conditionalFormatting sqref="AD764:AD765">
    <cfRule type="expression" dxfId="0" priority="99">
      <formula>AND($B764&lt;&gt;"",ISBLANK(AD764))</formula>
    </cfRule>
  </conditionalFormatting>
  <conditionalFormatting sqref="AD766:AD767">
    <cfRule type="expression" dxfId="0" priority="96">
      <formula>AND($B766&lt;&gt;"",ISBLANK(AD766))</formula>
    </cfRule>
  </conditionalFormatting>
  <conditionalFormatting sqref="AD768:AD769">
    <cfRule type="expression" dxfId="0" priority="93">
      <formula>AND($B768&lt;&gt;"",ISBLANK(AD768))</formula>
    </cfRule>
  </conditionalFormatting>
  <conditionalFormatting sqref="AD773:AD775">
    <cfRule type="expression" dxfId="0" priority="28">
      <formula>AND($B773&lt;&gt;"",ISBLANK(AD773))</formula>
    </cfRule>
  </conditionalFormatting>
  <conditionalFormatting sqref="AD776:AD778">
    <cfRule type="expression" dxfId="0" priority="26">
      <formula>AND($B776&lt;&gt;"",ISBLANK(AD776))</formula>
    </cfRule>
  </conditionalFormatting>
  <conditionalFormatting sqref="AD779:AD783">
    <cfRule type="expression" dxfId="0" priority="24">
      <formula>AND($B779&lt;&gt;"",ISBLANK(AD779))</formula>
    </cfRule>
  </conditionalFormatting>
  <conditionalFormatting sqref="AE2:AE203">
    <cfRule type="expression" dxfId="0" priority="2224">
      <formula>AND($B2&lt;&gt;"",ISBLANK(AE2))</formula>
    </cfRule>
  </conditionalFormatting>
  <conditionalFormatting sqref="AE341:AE391">
    <cfRule type="expression" dxfId="0" priority="2158">
      <formula>AND($B341&lt;&gt;"",ISBLANK(AE341))</formula>
    </cfRule>
  </conditionalFormatting>
  <conditionalFormatting sqref="AE438:AE448">
    <cfRule type="expression" dxfId="0" priority="1955">
      <formula>AND($B438&lt;&gt;"",ISBLANK(AE438))</formula>
    </cfRule>
  </conditionalFormatting>
  <conditionalFormatting sqref="AE451:AE466">
    <cfRule type="expression" dxfId="0" priority="1949">
      <formula>AND($B449&lt;&gt;"",ISBLANK(AE451))</formula>
    </cfRule>
  </conditionalFormatting>
  <conditionalFormatting sqref="AE508:AE545">
    <cfRule type="expression" dxfId="0" priority="1635">
      <formula>AND($B508&lt;&gt;"",ISBLANK(AE508))</formula>
    </cfRule>
  </conditionalFormatting>
  <conditionalFormatting sqref="AE546:AE560">
    <cfRule type="expression" dxfId="0" priority="1477">
      <formula>AND($B546&lt;&gt;"",ISBLANK(AE546))</formula>
    </cfRule>
  </conditionalFormatting>
  <conditionalFormatting sqref="AE613:AE633">
    <cfRule type="expression" dxfId="0" priority="1236">
      <formula>AND($B613&lt;&gt;"",ISBLANK(AE613))</formula>
    </cfRule>
  </conditionalFormatting>
  <conditionalFormatting sqref="AE643:AE650">
    <cfRule type="expression" dxfId="0" priority="1149">
      <formula>AND($B643&lt;&gt;"",ISBLANK(AE643))</formula>
    </cfRule>
  </conditionalFormatting>
  <conditionalFormatting sqref="AE684:AE703">
    <cfRule type="expression" dxfId="0" priority="958">
      <formula>AND($B684&lt;&gt;"",ISBLANK(AE684))</formula>
    </cfRule>
  </conditionalFormatting>
  <conditionalFormatting sqref="AE704:AE715">
    <cfRule type="expression" dxfId="0" priority="896">
      <formula>AND($B704&lt;&gt;"",ISBLANK(AE704))</formula>
    </cfRule>
  </conditionalFormatting>
  <conditionalFormatting sqref="AE727:AE728">
    <cfRule type="expression" dxfId="0" priority="700">
      <formula>AND($C727&lt;&gt;"",ISBLANK(AE727))</formula>
    </cfRule>
  </conditionalFormatting>
  <conditionalFormatting sqref="AE735:AE736">
    <cfRule type="expression" dxfId="0" priority="574">
      <formula>AND($C735&lt;&gt;"",ISBLANK(AE735))</formula>
    </cfRule>
  </conditionalFormatting>
  <conditionalFormatting sqref="AE751:AE754">
    <cfRule type="expression" dxfId="0" priority="394">
      <formula>AND($B751&lt;&gt;"",ISBLANK(AE751))</formula>
    </cfRule>
  </conditionalFormatting>
  <conditionalFormatting sqref="AE756:AE759">
    <cfRule type="expression" dxfId="0" priority="89">
      <formula>AND($B756&lt;&gt;"",ISBLANK(AE756))</formula>
    </cfRule>
  </conditionalFormatting>
  <conditionalFormatting sqref="AE760:AE761">
    <cfRule type="expression" dxfId="0" priority="87">
      <formula>AND($B760&lt;&gt;"",ISBLANK(AE760))</formula>
    </cfRule>
  </conditionalFormatting>
  <conditionalFormatting sqref="AE762:AE763">
    <cfRule type="expression" dxfId="0" priority="85">
      <formula>AND($B762&lt;&gt;"",ISBLANK(AE762))</formula>
    </cfRule>
  </conditionalFormatting>
  <conditionalFormatting sqref="AE764:AE765">
    <cfRule type="expression" dxfId="0" priority="83">
      <formula>AND($B764&lt;&gt;"",ISBLANK(AE764))</formula>
    </cfRule>
  </conditionalFormatting>
  <conditionalFormatting sqref="AE766:AE767">
    <cfRule type="expression" dxfId="0" priority="81">
      <formula>AND($B766&lt;&gt;"",ISBLANK(AE766))</formula>
    </cfRule>
  </conditionalFormatting>
  <conditionalFormatting sqref="AE768:AE769">
    <cfRule type="expression" dxfId="0" priority="79">
      <formula>AND($B768&lt;&gt;"",ISBLANK(AE768))</formula>
    </cfRule>
  </conditionalFormatting>
  <conditionalFormatting sqref="AE771:AE772">
    <cfRule type="expression" dxfId="0" priority="302">
      <formula>AND($B771&lt;&gt;"",ISBLANK(AE771))</formula>
    </cfRule>
  </conditionalFormatting>
  <conditionalFormatting sqref="AE773:AE775">
    <cfRule type="expression" dxfId="0" priority="21">
      <formula>AND($B773&lt;&gt;"",ISBLANK(AE773))</formula>
    </cfRule>
  </conditionalFormatting>
  <conditionalFormatting sqref="AE776:AE778">
    <cfRule type="expression" dxfId="0" priority="19">
      <formula>AND($B776&lt;&gt;"",ISBLANK(AE776))</formula>
    </cfRule>
  </conditionalFormatting>
  <conditionalFormatting sqref="AE779:AE783">
    <cfRule type="expression" dxfId="0" priority="17">
      <formula>AND($B779&lt;&gt;"",ISBLANK(AE779))</formula>
    </cfRule>
  </conditionalFormatting>
  <conditionalFormatting sqref="AF2:AF203">
    <cfRule type="expression" dxfId="0" priority="2225">
      <formula>AND($B2&lt;&gt;"",ISBLANK(AF2))</formula>
    </cfRule>
  </conditionalFormatting>
  <conditionalFormatting sqref="AF438:AF448">
    <cfRule type="expression" dxfId="0" priority="1956">
      <formula>AND($B438&lt;&gt;"",ISBLANK(AF438))</formula>
    </cfRule>
  </conditionalFormatting>
  <conditionalFormatting sqref="AF451:AF466">
    <cfRule type="expression" dxfId="0" priority="1950">
      <formula>AND($B449&lt;&gt;"",ISBLANK(AF451))</formula>
    </cfRule>
  </conditionalFormatting>
  <conditionalFormatting sqref="AF508:AF545">
    <cfRule type="expression" dxfId="0" priority="1636">
      <formula>AND($B508&lt;&gt;"",ISBLANK(AF508))</formula>
    </cfRule>
  </conditionalFormatting>
  <conditionalFormatting sqref="AF613:AF633">
    <cfRule type="expression" dxfId="0" priority="1237">
      <formula>AND($B613&lt;&gt;"",ISBLANK(AF613))</formula>
    </cfRule>
  </conditionalFormatting>
  <conditionalFormatting sqref="AF634:AF661">
    <cfRule type="expression" dxfId="0" priority="1148">
      <formula>AND($B634&lt;&gt;"",ISBLANK(AF634))</formula>
    </cfRule>
  </conditionalFormatting>
  <conditionalFormatting sqref="AF684:AF703">
    <cfRule type="expression" dxfId="0" priority="959">
      <formula>AND($B684&lt;&gt;"",ISBLANK(AF684))</formula>
    </cfRule>
  </conditionalFormatting>
  <conditionalFormatting sqref="AF705:AF706">
    <cfRule type="expression" dxfId="0" priority="897">
      <formula>AND($B705&lt;&gt;"",ISBLANK(AF705))</formula>
    </cfRule>
  </conditionalFormatting>
  <conditionalFormatting sqref="AF707:AF715">
    <cfRule type="expression" dxfId="0" priority="898">
      <formula>AND($B704&lt;&gt;"",ISBLANK(AF707))</formula>
    </cfRule>
  </conditionalFormatting>
  <conditionalFormatting sqref="AF716:AF725">
    <cfRule type="expression" dxfId="0" priority="863">
      <formula>AND($C716&lt;&gt;"",ISBLANK(AF716))</formula>
    </cfRule>
  </conditionalFormatting>
  <conditionalFormatting sqref="AF726:AF733">
    <cfRule type="expression" dxfId="0" priority="701">
      <formula>AND($C726&lt;&gt;"",ISBLANK(AF726))</formula>
    </cfRule>
  </conditionalFormatting>
  <conditionalFormatting sqref="AF734:AF741">
    <cfRule type="expression" dxfId="0" priority="575">
      <formula>AND($C734&lt;&gt;"",ISBLANK(AF734))</formula>
    </cfRule>
  </conditionalFormatting>
  <conditionalFormatting sqref="AF742:AF744">
    <cfRule type="expression" dxfId="0" priority="136">
      <formula>AND($C742&lt;&gt;"",ISBLANK(AF742))</formula>
    </cfRule>
  </conditionalFormatting>
  <conditionalFormatting sqref="AF745:AF747">
    <cfRule type="expression" dxfId="0" priority="126">
      <formula>AND($C745&lt;&gt;"",ISBLANK(AF745))</formula>
    </cfRule>
  </conditionalFormatting>
  <conditionalFormatting sqref="AF748:AF750">
    <cfRule type="expression" dxfId="0" priority="116">
      <formula>AND($C748&lt;&gt;"",ISBLANK(AF748))</formula>
    </cfRule>
  </conditionalFormatting>
  <conditionalFormatting sqref="AF751:AF755">
    <cfRule type="expression" dxfId="0" priority="396">
      <formula>AND($B751&lt;&gt;"",ISBLANK(AF751))</formula>
    </cfRule>
  </conditionalFormatting>
  <conditionalFormatting sqref="AF756:AF759">
    <cfRule type="expression" dxfId="0" priority="88">
      <formula>AND($B756&lt;&gt;"",ISBLANK(AF756))</formula>
    </cfRule>
  </conditionalFormatting>
  <conditionalFormatting sqref="AF760:AF761">
    <cfRule type="expression" dxfId="0" priority="86">
      <formula>AND($B760&lt;&gt;"",ISBLANK(AF760))</formula>
    </cfRule>
  </conditionalFormatting>
  <conditionalFormatting sqref="AF762:AF763">
    <cfRule type="expression" dxfId="0" priority="84">
      <formula>AND($B762&lt;&gt;"",ISBLANK(AF762))</formula>
    </cfRule>
  </conditionalFormatting>
  <conditionalFormatting sqref="AF764:AF765">
    <cfRule type="expression" dxfId="0" priority="82">
      <formula>AND($B764&lt;&gt;"",ISBLANK(AF764))</formula>
    </cfRule>
  </conditionalFormatting>
  <conditionalFormatting sqref="AF766:AF767">
    <cfRule type="expression" dxfId="0" priority="80">
      <formula>AND($B766&lt;&gt;"",ISBLANK(AF766))</formula>
    </cfRule>
  </conditionalFormatting>
  <conditionalFormatting sqref="AF768:AF769">
    <cfRule type="expression" dxfId="0" priority="78">
      <formula>AND($B768&lt;&gt;"",ISBLANK(AF768))</formula>
    </cfRule>
  </conditionalFormatting>
  <conditionalFormatting sqref="AF771:AF772">
    <cfRule type="expression" dxfId="0" priority="303">
      <formula>AND($B771&lt;&gt;"",ISBLANK(AF771))</formula>
    </cfRule>
  </conditionalFormatting>
  <conditionalFormatting sqref="AF773:AF775">
    <cfRule type="expression" dxfId="0" priority="22">
      <formula>AND($B773&lt;&gt;"",ISBLANK(AF773))</formula>
    </cfRule>
  </conditionalFormatting>
  <conditionalFormatting sqref="AF776:AF778">
    <cfRule type="expression" dxfId="0" priority="20">
      <formula>AND($B776&lt;&gt;"",ISBLANK(AF776))</formula>
    </cfRule>
  </conditionalFormatting>
  <conditionalFormatting sqref="AF779:AF783">
    <cfRule type="expression" dxfId="0" priority="18">
      <formula>AND($B779&lt;&gt;"",ISBLANK(AF779))</formula>
    </cfRule>
  </conditionalFormatting>
  <conditionalFormatting sqref="AG2:AG203">
    <cfRule type="expression" dxfId="0" priority="2226">
      <formula>AND($B2&lt;&gt;"",ISBLANK(AG2))</formula>
    </cfRule>
  </conditionalFormatting>
  <conditionalFormatting sqref="O341:X341 O342:O345 O346:W346 O347 W347 O348:O359 O360:W360 O361:O391">
    <cfRule type="expression" dxfId="0" priority="2175">
      <formula>AND($B341&lt;&gt;"",ISBLANK(O341))</formula>
    </cfRule>
  </conditionalFormatting>
  <conditionalFormatting sqref="Y341:Z341 Y376:Z376 Y377">
    <cfRule type="expression" dxfId="0" priority="2174">
      <formula>AND($B341&lt;&gt;"",ISBLANK(Y341))</formula>
    </cfRule>
  </conditionalFormatting>
  <conditionalFormatting sqref="P342:P345 P347:P359 P361:P391">
    <cfRule type="expression" dxfId="0" priority="2176">
      <formula>AND($B342&lt;&gt;"",ISBLANK(P342))</formula>
    </cfRule>
  </conditionalFormatting>
  <conditionalFormatting sqref="S342:S345 S347:S359 S361:S391">
    <cfRule type="expression" dxfId="0" priority="2177">
      <formula>AND($B342&lt;&gt;"",ISBLANK(S342))</formula>
    </cfRule>
  </conditionalFormatting>
  <conditionalFormatting sqref="V342:V345 V347:V359 V361:V391">
    <cfRule type="expression" dxfId="0" priority="2178">
      <formula>AND($B342&lt;&gt;"",ISBLANK(V342))</formula>
    </cfRule>
  </conditionalFormatting>
  <conditionalFormatting sqref="W342:Z342 W343:W345 W349 W351:X351 W355:X355 W359:X359 W361:Y362 W363:X363 W364 W365:X366 W367 W368:X370 Z370 W371:X371 W372:Y372 W373 W374:X377 Z377 W378:W382 W383:X386 W387:W388 W389:X391">
    <cfRule type="expression" dxfId="0" priority="2179">
      <formula>AND($B342&lt;&gt;"",ISBLANK(W342))</formula>
    </cfRule>
  </conditionalFormatting>
  <conditionalFormatting sqref="X343:Z345 X349:Z349 Y351:Z351 Y355:Z355 Y359:Z359 X360:Z360 Z361 X364 X382 X387">
    <cfRule type="expression" dxfId="0" priority="2180">
      <formula>AND($B343&lt;&gt;"",ISBLANK(X343))</formula>
    </cfRule>
  </conditionalFormatting>
  <conditionalFormatting sqref="X347:Z347 Y348:Z348 Y350:Z350 Y352:Z353 Z354 Z356:Z357">
    <cfRule type="expression" dxfId="0" priority="2171">
      <formula>AND($B347&lt;&gt;"",ISBLANK(X347))</formula>
    </cfRule>
  </conditionalFormatting>
  <conditionalFormatting sqref="W348:X348 W350:X350 W352:X353 W354:Y354 W356:X356 W357:Y357 W358:X358">
    <cfRule type="expression" dxfId="0" priority="2170">
      <formula>AND($B348&lt;&gt;"",ISBLANK(W348))</formula>
    </cfRule>
  </conditionalFormatting>
  <conditionalFormatting sqref="Y364:Z364 Y365 Y366:Z366">
    <cfRule type="expression" dxfId="0" priority="2165">
      <formula>AND($B364&lt;&gt;"",ISBLANK(Y364))</formula>
    </cfRule>
  </conditionalFormatting>
  <conditionalFormatting sqref="X367:Z367 Y368:Z369 Y370 Y371:Z371 Z372">
    <cfRule type="expression" dxfId="0" priority="2163">
      <formula>AND($B367&lt;&gt;"",ISBLANK(X367))</formula>
    </cfRule>
  </conditionalFormatting>
  <conditionalFormatting sqref="X373:Z373 Y374:Z375">
    <cfRule type="expression" dxfId="0" priority="2162">
      <formula>AND($B373&lt;&gt;"",ISBLANK(X373))</formula>
    </cfRule>
  </conditionalFormatting>
  <conditionalFormatting sqref="X379 Z379 X380:X381">
    <cfRule type="expression" dxfId="0" priority="2183">
      <formula>AND($B378&lt;&gt;"",ISBLANK(X379))</formula>
    </cfRule>
  </conditionalFormatting>
  <conditionalFormatting sqref="Y379 Y380:Z381">
    <cfRule type="expression" dxfId="0" priority="2182">
      <formula>AND($B378&lt;&gt;"",ISBLANK(Y379))</formula>
    </cfRule>
  </conditionalFormatting>
  <conditionalFormatting sqref="Y382:Z386">
    <cfRule type="expression" dxfId="0" priority="2161">
      <formula>AND($B381&lt;&gt;"",ISBLANK(Y382))</formula>
    </cfRule>
  </conditionalFormatting>
  <conditionalFormatting sqref="Y387:Z387 X388:Z388 Y389:Z391">
    <cfRule type="expression" dxfId="0" priority="2160">
      <formula>AND($B386&lt;&gt;"",ISBLANK(X387))</formula>
    </cfRule>
  </conditionalFormatting>
  <conditionalFormatting sqref="O392:O419 O425:O431 O433:O436">
    <cfRule type="expression" dxfId="0" priority="2128">
      <formula>AND($B392&lt;&gt;"",ISBLANK(O392))</formula>
    </cfRule>
  </conditionalFormatting>
  <conditionalFormatting sqref="P392:P419 P425:P431 P433:P436">
    <cfRule type="expression" dxfId="0" priority="2129">
      <formula>AND($B392&lt;&gt;"",ISBLANK(P392))</formula>
    </cfRule>
  </conditionalFormatting>
  <conditionalFormatting sqref="S392:S419 S425:S431 S433:S436">
    <cfRule type="expression" dxfId="0" priority="2130">
      <formula>AND($B392&lt;&gt;"",ISBLANK(S392))</formula>
    </cfRule>
  </conditionalFormatting>
  <conditionalFormatting sqref="V392:V419 V425:V431 V433:V436">
    <cfRule type="expression" dxfId="0" priority="2131">
      <formula>AND($B392&lt;&gt;"",ISBLANK(V392))</formula>
    </cfRule>
  </conditionalFormatting>
  <conditionalFormatting sqref="W392:W415 W425:W431 W433:W436">
    <cfRule type="expression" dxfId="0" priority="2132">
      <formula>AND($B392&lt;&gt;"",ISBLANK(W392))</formula>
    </cfRule>
  </conditionalFormatting>
  <conditionalFormatting sqref="X392:X415 X424:X431 X433:X436">
    <cfRule type="expression" dxfId="0" priority="2133">
      <formula>AND($B392&lt;&gt;"",ISBLANK(X392))</formula>
    </cfRule>
  </conditionalFormatting>
  <conditionalFormatting sqref="Y392:Y415 Y424:Y431 Y433:Y436">
    <cfRule type="expression" dxfId="0" priority="2127">
      <formula>AND($B392&lt;&gt;"",ISBLANK(Y392))</formula>
    </cfRule>
  </conditionalFormatting>
  <conditionalFormatting sqref="Z392:Z431 Z433:Z436">
    <cfRule type="expression" dxfId="0" priority="2134">
      <formula>AND($B392&lt;&gt;"",ISBLANK(Z392))</formula>
    </cfRule>
  </conditionalFormatting>
  <conditionalFormatting sqref="AA392:AA411 AA415 AA419 AA422:AA423 AA427 AA434">
    <cfRule type="expression" dxfId="0" priority="2101">
      <formula>AND($B392&lt;&gt;"",ISBLANK(AA392))</formula>
    </cfRule>
  </conditionalFormatting>
  <conditionalFormatting sqref="AB392:AB411 AB415 AB419 AB422:AB423 AB427 AB434">
    <cfRule type="expression" dxfId="0" priority="2100">
      <formula>AND($B392&lt;&gt;"",ISBLANK(AB392))</formula>
    </cfRule>
  </conditionalFormatting>
  <conditionalFormatting sqref="AC392:AC411 AC419 AC422 AC427 AC434">
    <cfRule type="expression" dxfId="0" priority="2103">
      <formula>AND($B392&lt;&gt;"",ISBLANK(AC392))</formula>
    </cfRule>
  </conditionalFormatting>
  <conditionalFormatting sqref="AD392:AD411 AD419 AD422 AD427 AD434">
    <cfRule type="expression" dxfId="0" priority="2102">
      <formula>AND($B392&lt;&gt;"",ISBLANK(AD392))</formula>
    </cfRule>
  </conditionalFormatting>
  <conditionalFormatting sqref="AE392:AE410 AE419 AE422 AE426:AE427 AE434">
    <cfRule type="expression" dxfId="0" priority="2104">
      <formula>AND($B392&lt;&gt;"",ISBLANK(AE392))</formula>
    </cfRule>
  </conditionalFormatting>
  <conditionalFormatting sqref="AF392:AF410 AF419 AF422 AF426:AF427 AF434">
    <cfRule type="expression" dxfId="0" priority="2105">
      <formula>AND($B392&lt;&gt;"",ISBLANK(AF392))</formula>
    </cfRule>
  </conditionalFormatting>
  <conditionalFormatting sqref="O420:V423 O424:W424">
    <cfRule type="expression" dxfId="0" priority="2126">
      <formula>AND($B420&lt;&gt;"",ISBLANK(O420))</formula>
    </cfRule>
  </conditionalFormatting>
  <conditionalFormatting sqref="O467:P507">
    <cfRule type="expression" dxfId="0" priority="1852" stopIfTrue="1">
      <formula>AND($B467&lt;&gt;"",ISBLANK(O467))</formula>
    </cfRule>
  </conditionalFormatting>
  <conditionalFormatting sqref="V467:Z507">
    <cfRule type="expression" dxfId="0" priority="1851" stopIfTrue="1">
      <formula>AND($B467&lt;&gt;"",ISBLANK(V467))</formula>
    </cfRule>
  </conditionalFormatting>
  <conditionalFormatting sqref="AA467:AF507">
    <cfRule type="expression" dxfId="0" priority="1850" stopIfTrue="1">
      <formula>AND($B467&lt;&gt;"",ISBLANK(AA467))</formula>
    </cfRule>
  </conditionalFormatting>
  <conditionalFormatting sqref="I478 I487 I496 I499 I503">
    <cfRule type="expression" dxfId="0" priority="1943" stopIfTrue="1">
      <formula>AND($B478&lt;&gt;"",ISBLANK(I478))</formula>
    </cfRule>
  </conditionalFormatting>
  <conditionalFormatting sqref="O529:X529 O530 O532 O537:X537 O539 O544:O545 O508:O525 O527:O528">
    <cfRule type="expression" dxfId="0" priority="1806">
      <formula>AND($B508&lt;&gt;"",ISBLANK(O508))</formula>
    </cfRule>
  </conditionalFormatting>
  <conditionalFormatting sqref="P508:P525 P527:P528 P530 P532 P539 P544:P545">
    <cfRule type="expression" dxfId="0" priority="1807">
      <formula>AND($B508&lt;&gt;"",ISBLANK(P508))</formula>
    </cfRule>
  </conditionalFormatting>
  <conditionalFormatting sqref="S508:S525 S527:S528 S530 S532 S539 S544:S545">
    <cfRule type="expression" dxfId="0" priority="1808">
      <formula>AND($B508&lt;&gt;"",ISBLANK(S508))</formula>
    </cfRule>
  </conditionalFormatting>
  <conditionalFormatting sqref="V508:V525 V527:V528 V530 V532 V539 V544:V545">
    <cfRule type="expression" dxfId="0" priority="1809">
      <formula>AND($B508&lt;&gt;"",ISBLANK(V508))</formula>
    </cfRule>
  </conditionalFormatting>
  <conditionalFormatting sqref="W530 W532 W544:W545 W508:W525">
    <cfRule type="expression" dxfId="0" priority="1810">
      <formula>AND($B508&lt;&gt;"",ISBLANK(W508))</formula>
    </cfRule>
  </conditionalFormatting>
  <conditionalFormatting sqref="X530 X544:X545 X508:X525">
    <cfRule type="expression" dxfId="0" priority="1811">
      <formula>AND($B508&lt;&gt;"",ISBLANK(X508))</formula>
    </cfRule>
  </conditionalFormatting>
  <conditionalFormatting sqref="AD511 AD513">
    <cfRule type="expression" dxfId="0" priority="1591">
      <formula>AND($B511&lt;&gt;"",ISBLANK(AD511))</formula>
    </cfRule>
  </conditionalFormatting>
  <conditionalFormatting sqref="AD511:AD512 AD513">
    <cfRule type="expression" dxfId="0" priority="1590">
      <formula>AND($B511&lt;&gt;"",ISBLANK(AD511))</formula>
    </cfRule>
  </conditionalFormatting>
  <conditionalFormatting sqref="AD511:AD513 AF512">
    <cfRule type="expression" dxfId="0" priority="1589">
      <formula>AND($B511&lt;&gt;"",ISBLANK(AD511))</formula>
    </cfRule>
  </conditionalFormatting>
  <conditionalFormatting sqref="AD511:AD513 AF512:AF513">
    <cfRule type="expression" dxfId="0" priority="1588">
      <formula>AND($B511&lt;&gt;"",ISBLANK(AD511))</formula>
    </cfRule>
  </conditionalFormatting>
  <conditionalFormatting sqref="AD511:AD514 AF512:AF513">
    <cfRule type="expression" dxfId="0" priority="1587">
      <formula>AND($B511&lt;&gt;"",ISBLANK(AD511))</formula>
    </cfRule>
  </conditionalFormatting>
  <conditionalFormatting sqref="AD511:AD514 AF512:AF514">
    <cfRule type="expression" dxfId="0" priority="1586">
      <formula>AND($B511&lt;&gt;"",ISBLANK(AD511))</formula>
    </cfRule>
  </conditionalFormatting>
  <conditionalFormatting sqref="AD511:AD514 AF512:AF515">
    <cfRule type="expression" dxfId="0" priority="1585">
      <formula>AND($B511&lt;&gt;"",ISBLANK(AD511))</formula>
    </cfRule>
  </conditionalFormatting>
  <conditionalFormatting sqref="AD511:AD514 AF512:AF516">
    <cfRule type="expression" dxfId="0" priority="1584">
      <formula>AND($B511&lt;&gt;"",ISBLANK(AD511))</formula>
    </cfRule>
  </conditionalFormatting>
  <conditionalFormatting sqref="AD511:AD514 AF512:AF517">
    <cfRule type="expression" dxfId="0" priority="1583">
      <formula>AND($B511&lt;&gt;"",ISBLANK(AD511))</formula>
    </cfRule>
  </conditionalFormatting>
  <conditionalFormatting sqref="AD511:AD515 AF512:AF517">
    <cfRule type="expression" dxfId="0" priority="1582">
      <formula>AND($B511&lt;&gt;"",ISBLANK(AD511))</formula>
    </cfRule>
  </conditionalFormatting>
  <conditionalFormatting sqref="AD511:AD516 AF512:AF517">
    <cfRule type="expression" dxfId="0" priority="1581">
      <formula>AND($B511&lt;&gt;"",ISBLANK(AD511))</formula>
    </cfRule>
  </conditionalFormatting>
  <conditionalFormatting sqref="AD511:AD517 AF512:AF517">
    <cfRule type="expression" dxfId="0" priority="1580">
      <formula>AND($B511&lt;&gt;"",ISBLANK(AD511))</formula>
    </cfRule>
  </conditionalFormatting>
  <conditionalFormatting sqref="AD511:AD517 AF512:AF517 AD519">
    <cfRule type="expression" dxfId="0" priority="1579">
      <formula>AND($B511&lt;&gt;"",ISBLANK(AD511))</formula>
    </cfRule>
  </conditionalFormatting>
  <conditionalFormatting sqref="AD511:AD517 AF512:AF517 AD519:AD520">
    <cfRule type="expression" dxfId="0" priority="1578">
      <formula>AND($B511&lt;&gt;"",ISBLANK(AD511))</formula>
    </cfRule>
  </conditionalFormatting>
  <conditionalFormatting sqref="AD511:AD517 AF512:AF517 AD519:AD521">
    <cfRule type="expression" dxfId="0" priority="1577">
      <formula>AND($B511&lt;&gt;"",ISBLANK(AD511))</formula>
    </cfRule>
  </conditionalFormatting>
  <conditionalFormatting sqref="AD511:AD517 AF512:AF517 AD519:AD522">
    <cfRule type="expression" dxfId="0" priority="1576">
      <formula>AND($B511&lt;&gt;"",ISBLANK(AD511))</formula>
    </cfRule>
  </conditionalFormatting>
  <conditionalFormatting sqref="AD511:AD517 AF512:AF517 AD519:AD523">
    <cfRule type="expression" dxfId="0" priority="1575">
      <formula>AND($B511&lt;&gt;"",ISBLANK(AD511))</formula>
    </cfRule>
  </conditionalFormatting>
  <conditionalFormatting sqref="AD511:AD517 AF512:AF517 AD519:AD524">
    <cfRule type="expression" dxfId="0" priority="1574">
      <formula>AND($B511&lt;&gt;"",ISBLANK(AD511))</formula>
    </cfRule>
  </conditionalFormatting>
  <conditionalFormatting sqref="AD511:AD517 AF512:AF517 AD519:AD525">
    <cfRule type="expression" dxfId="0" priority="1573">
      <formula>AND($B511&lt;&gt;"",ISBLANK(AD511))</formula>
    </cfRule>
  </conditionalFormatting>
  <conditionalFormatting sqref="AD511:AD517 AF512:AF517 AD519:AD526">
    <cfRule type="expression" dxfId="0" priority="1572">
      <formula>AND($B511&lt;&gt;"",ISBLANK(AD511))</formula>
    </cfRule>
  </conditionalFormatting>
  <conditionalFormatting sqref="AD511:AD517 AF512:AF517 AD519:AD527">
    <cfRule type="expression" dxfId="0" priority="1571">
      <formula>AND($B511&lt;&gt;"",ISBLANK(AD511))</formula>
    </cfRule>
  </conditionalFormatting>
  <conditionalFormatting sqref="AD511:AD517 AF512:AF517 AD519:AD528">
    <cfRule type="expression" dxfId="0" priority="1570">
      <formula>AND($B511&lt;&gt;"",ISBLANK(AD511))</formula>
    </cfRule>
  </conditionalFormatting>
  <conditionalFormatting sqref="AD511:AD517 AF512:AF517 AD519:AD528 AF528">
    <cfRule type="expression" dxfId="0" priority="1569">
      <formula>AND($B511&lt;&gt;"",ISBLANK(AD511))</formula>
    </cfRule>
  </conditionalFormatting>
  <conditionalFormatting sqref="AD511:AD517 AF512:AF517 AD519:AD528 AF528 AF526">
    <cfRule type="expression" dxfId="0" priority="1568">
      <formula>AND($B511&lt;&gt;"",ISBLANK(AD511))</formula>
    </cfRule>
  </conditionalFormatting>
  <conditionalFormatting sqref="AD511:AD517 AF512:AF517 AD519:AD528 AF528 AF525:AF526">
    <cfRule type="expression" dxfId="0" priority="1567">
      <formula>AND($B511&lt;&gt;"",ISBLANK(AD511))</formula>
    </cfRule>
  </conditionalFormatting>
  <conditionalFormatting sqref="AD511:AD517 AF512:AF517 AD519:AD528 AF528 AF524:AF526">
    <cfRule type="expression" dxfId="0" priority="1566">
      <formula>AND($B511&lt;&gt;"",ISBLANK(AD511))</formula>
    </cfRule>
  </conditionalFormatting>
  <conditionalFormatting sqref="AD511:AD517 AF512:AF517 AD519:AD528 AF528 AF523:AF526">
    <cfRule type="expression" dxfId="0" priority="1565">
      <formula>AND($B511&lt;&gt;"",ISBLANK(AD511))</formula>
    </cfRule>
  </conditionalFormatting>
  <conditionalFormatting sqref="AD511:AD517 AF512:AF517 AD519:AD528 AF528 AF522:AF526">
    <cfRule type="expression" dxfId="0" priority="1564">
      <formula>AND($B511&lt;&gt;"",ISBLANK(AD511))</formula>
    </cfRule>
  </conditionalFormatting>
  <conditionalFormatting sqref="AD511:AD517 AF512:AF517 AD519:AD528 AF528 AF521:AF526">
    <cfRule type="expression" dxfId="0" priority="1563">
      <formula>AND($B511&lt;&gt;"",ISBLANK(AD511))</formula>
    </cfRule>
  </conditionalFormatting>
  <conditionalFormatting sqref="AD511:AD517 AF512:AF517 AD519:AD528 AF528 AF520:AF526">
    <cfRule type="expression" dxfId="0" priority="1562">
      <formula>AND($B511&lt;&gt;"",ISBLANK(AD511))</formula>
    </cfRule>
  </conditionalFormatting>
  <conditionalFormatting sqref="AD511:AD517 AF512:AF517 AD519:AD528 AF528 AF519:AF526">
    <cfRule type="expression" dxfId="0" priority="1561">
      <formula>AND($B511&lt;&gt;"",ISBLANK(AD511))</formula>
    </cfRule>
  </conditionalFormatting>
  <conditionalFormatting sqref="AC513 AE513">
    <cfRule type="expression" dxfId="0" priority="1625">
      <formula>AND($B513&lt;&gt;"",ISBLANK(AC513))</formula>
    </cfRule>
  </conditionalFormatting>
  <conditionalFormatting sqref="AC514 AE514">
    <cfRule type="expression" dxfId="0" priority="1623">
      <formula>AND($B514&lt;&gt;"",ISBLANK(AC514))</formula>
    </cfRule>
  </conditionalFormatting>
  <conditionalFormatting sqref="AC515 AE515">
    <cfRule type="expression" dxfId="0" priority="1621">
      <formula>AND($B515&lt;&gt;"",ISBLANK(AC515))</formula>
    </cfRule>
  </conditionalFormatting>
  <conditionalFormatting sqref="AC516 AE516">
    <cfRule type="expression" dxfId="0" priority="1619">
      <formula>AND($B516&lt;&gt;"",ISBLANK(AC516))</formula>
    </cfRule>
  </conditionalFormatting>
  <conditionalFormatting sqref="AC517 AE517">
    <cfRule type="expression" dxfId="0" priority="1617">
      <formula>AND($B517&lt;&gt;"",ISBLANK(AC517))</formula>
    </cfRule>
  </conditionalFormatting>
  <conditionalFormatting sqref="AC519 AE519">
    <cfRule type="expression" dxfId="0" priority="1615">
      <formula>AND($B519&lt;&gt;"",ISBLANK(AC519))</formula>
    </cfRule>
  </conditionalFormatting>
  <conditionalFormatting sqref="AC520 AE520">
    <cfRule type="expression" dxfId="0" priority="1613">
      <formula>AND($B520&lt;&gt;"",ISBLANK(AC520))</formula>
    </cfRule>
  </conditionalFormatting>
  <conditionalFormatting sqref="AC521 AE521">
    <cfRule type="expression" dxfId="0" priority="1611">
      <formula>AND($B521&lt;&gt;"",ISBLANK(AC521))</formula>
    </cfRule>
  </conditionalFormatting>
  <conditionalFormatting sqref="W522 Y522">
    <cfRule type="expression" dxfId="0" priority="1690">
      <formula>AND($B522&lt;&gt;"",ISBLANK(W522))</formula>
    </cfRule>
  </conditionalFormatting>
  <conditionalFormatting sqref="W522 Y522:Z522">
    <cfRule type="expression" dxfId="0" priority="1689">
      <formula>AND($B522&lt;&gt;"",ISBLANK(W522))</formula>
    </cfRule>
  </conditionalFormatting>
  <conditionalFormatting sqref="AC522 AE522">
    <cfRule type="expression" dxfId="0" priority="1609">
      <formula>AND($B522&lt;&gt;"",ISBLANK(AC522))</formula>
    </cfRule>
  </conditionalFormatting>
  <conditionalFormatting sqref="AC523 AE523">
    <cfRule type="expression" dxfId="0" priority="1605">
      <formula>AND($B523&lt;&gt;"",ISBLANK(AC523))</formula>
    </cfRule>
  </conditionalFormatting>
  <conditionalFormatting sqref="AC524 AE524">
    <cfRule type="expression" dxfId="0" priority="1603">
      <formula>AND($B524&lt;&gt;"",ISBLANK(AC524))</formula>
    </cfRule>
  </conditionalFormatting>
  <conditionalFormatting sqref="AC525 AE525">
    <cfRule type="expression" dxfId="0" priority="1601">
      <formula>AND($B525&lt;&gt;"",ISBLANK(AC525))</formula>
    </cfRule>
  </conditionalFormatting>
  <conditionalFormatting sqref="AC526 AE526">
    <cfRule type="expression" dxfId="0" priority="1599">
      <formula>AND($B526&lt;&gt;"",ISBLANK(AC526))</formula>
    </cfRule>
  </conditionalFormatting>
  <conditionalFormatting sqref="AC528 AE528">
    <cfRule type="expression" dxfId="0" priority="1596">
      <formula>AND($B528&lt;&gt;"",ISBLANK(AC528))</formula>
    </cfRule>
  </conditionalFormatting>
  <conditionalFormatting sqref="AC529 AE529">
    <cfRule type="expression" dxfId="0" priority="1559">
      <formula>AND($B529&lt;&gt;"",ISBLANK(AC529))</formula>
    </cfRule>
  </conditionalFormatting>
  <conditionalFormatting sqref="AD529 AF529">
    <cfRule type="expression" dxfId="0" priority="1557">
      <formula>AND($B529&lt;&gt;"",ISBLANK(AD529))</formula>
    </cfRule>
  </conditionalFormatting>
  <conditionalFormatting sqref="AC530 AE530">
    <cfRule type="expression" dxfId="0" priority="1555">
      <formula>AND($B530&lt;&gt;"",ISBLANK(AC530))</formula>
    </cfRule>
  </conditionalFormatting>
  <conditionalFormatting sqref="AD530 AF530">
    <cfRule type="expression" dxfId="0" priority="1553">
      <formula>AND($B530&lt;&gt;"",ISBLANK(AD530))</formula>
    </cfRule>
  </conditionalFormatting>
  <conditionalFormatting sqref="AC532 AE532">
    <cfRule type="expression" dxfId="0" priority="1551">
      <formula>AND($B532&lt;&gt;"",ISBLANK(AC532))</formula>
    </cfRule>
  </conditionalFormatting>
  <conditionalFormatting sqref="AD532 AF532">
    <cfRule type="expression" dxfId="0" priority="1549">
      <formula>AND($B532&lt;&gt;"",ISBLANK(AD532))</formula>
    </cfRule>
  </conditionalFormatting>
  <conditionalFormatting sqref="AC533 AE533">
    <cfRule type="expression" dxfId="0" priority="1547">
      <formula>AND($B533&lt;&gt;"",ISBLANK(AC533))</formula>
    </cfRule>
  </conditionalFormatting>
  <conditionalFormatting sqref="AD533 AF533">
    <cfRule type="expression" dxfId="0" priority="1545">
      <formula>AND($B533&lt;&gt;"",ISBLANK(AD533))</formula>
    </cfRule>
  </conditionalFormatting>
  <conditionalFormatting sqref="AC534 AE534">
    <cfRule type="expression" dxfId="0" priority="1543">
      <formula>AND($B534&lt;&gt;"",ISBLANK(AC534))</formula>
    </cfRule>
  </conditionalFormatting>
  <conditionalFormatting sqref="AD534 AF534">
    <cfRule type="expression" dxfId="0" priority="1541">
      <formula>AND($B534&lt;&gt;"",ISBLANK(AD534))</formula>
    </cfRule>
  </conditionalFormatting>
  <conditionalFormatting sqref="AC535 AE535">
    <cfRule type="expression" dxfId="0" priority="1539">
      <formula>AND($B535&lt;&gt;"",ISBLANK(AC535))</formula>
    </cfRule>
  </conditionalFormatting>
  <conditionalFormatting sqref="AC536 AE536">
    <cfRule type="expression" dxfId="0" priority="1531">
      <formula>AND($B536&lt;&gt;"",ISBLANK(AC536))</formula>
    </cfRule>
  </conditionalFormatting>
  <conditionalFormatting sqref="AC537 AE537">
    <cfRule type="expression" dxfId="0" priority="1536">
      <formula>AND($B537&lt;&gt;"",ISBLANK(AC537))</formula>
    </cfRule>
  </conditionalFormatting>
  <conditionalFormatting sqref="AC538 AE538">
    <cfRule type="expression" dxfId="0" priority="1527">
      <formula>AND($B538&lt;&gt;"",ISBLANK(AC538))</formula>
    </cfRule>
  </conditionalFormatting>
  <conditionalFormatting sqref="AC540 AE540">
    <cfRule type="expression" dxfId="0" priority="1521">
      <formula>AND($B540&lt;&gt;"",ISBLANK(AC540))</formula>
    </cfRule>
  </conditionalFormatting>
  <conditionalFormatting sqref="AC541 AE541">
    <cfRule type="expression" dxfId="0" priority="1517">
      <formula>AND($B541&lt;&gt;"",ISBLANK(AC541))</formula>
    </cfRule>
  </conditionalFormatting>
  <conditionalFormatting sqref="AC542 AE542">
    <cfRule type="expression" dxfId="0" priority="1513">
      <formula>AND($B542&lt;&gt;"",ISBLANK(AC542))</formula>
    </cfRule>
  </conditionalFormatting>
  <conditionalFormatting sqref="AC543 AE543">
    <cfRule type="expression" dxfId="0" priority="1607">
      <formula>AND($B543&lt;&gt;"",ISBLANK(AC543))</formula>
    </cfRule>
  </conditionalFormatting>
  <conditionalFormatting sqref="W546:W560 W562">
    <cfRule type="expression" dxfId="0" priority="1489">
      <formula>AND($B546&lt;&gt;"",ISBLANK(W546))</formula>
    </cfRule>
  </conditionalFormatting>
  <conditionalFormatting sqref="X546:X560 X562">
    <cfRule type="expression" dxfId="0" priority="1494">
      <formula>AND($B546&lt;&gt;"",ISBLANK(X546))</formula>
    </cfRule>
  </conditionalFormatting>
  <conditionalFormatting sqref="Y546:Y560 Y562">
    <cfRule type="expression" dxfId="0" priority="1498">
      <formula>AND($B546&lt;&gt;"",ISBLANK(Y546))</formula>
    </cfRule>
  </conditionalFormatting>
  <conditionalFormatting sqref="AB546:AB560 AB562">
    <cfRule type="expression" dxfId="0" priority="1475">
      <formula>AND($B546&lt;&gt;"",ISBLANK(AB546))</formula>
    </cfRule>
  </conditionalFormatting>
  <conditionalFormatting sqref="AD546:AD560 AD562">
    <cfRule type="expression" dxfId="0" priority="1472">
      <formula>AND($B546&lt;&gt;"",ISBLANK(AD546))</formula>
    </cfRule>
  </conditionalFormatting>
  <conditionalFormatting sqref="AF546:AF560 AF562:AF563">
    <cfRule type="expression" dxfId="0" priority="1478">
      <formula>AND($B546&lt;&gt;"",ISBLANK(AF546))</formula>
    </cfRule>
  </conditionalFormatting>
  <conditionalFormatting sqref="AA556:AA560 AA562">
    <cfRule type="expression" dxfId="0" priority="1474">
      <formula>AND($B556&lt;&gt;"",ISBLANK(AA556))</formula>
    </cfRule>
  </conditionalFormatting>
  <conditionalFormatting sqref="Z559:Z560 Z562">
    <cfRule type="expression" dxfId="0" priority="1500">
      <formula>AND($B559&lt;&gt;"",ISBLANK(Z559))</formula>
    </cfRule>
  </conditionalFormatting>
  <conditionalFormatting sqref="I590 I592 I595:I612">
    <cfRule type="expression" dxfId="0" priority="1445">
      <formula>AND($B590&lt;&gt;"",ISBLANK(I590))</formula>
    </cfRule>
  </conditionalFormatting>
  <conditionalFormatting sqref="W590:W600 W602:W612">
    <cfRule type="expression" dxfId="0" priority="1441">
      <formula>AND($B590&lt;&gt;"",ISBLANK(W590))</formula>
    </cfRule>
  </conditionalFormatting>
  <conditionalFormatting sqref="X590:X595 X597:X598 X603:X606 X608 X610 X612">
    <cfRule type="expression" dxfId="0" priority="1442">
      <formula>AND($B590&lt;&gt;"",ISBLANK(X590))</formula>
    </cfRule>
  </conditionalFormatting>
  <conditionalFormatting sqref="Y590:AF590 Y591 AD591:AF591 Y592 AA592 AC592 AE592:AF592 Y597:Y598 Y603 Y605:Y606 Y608">
    <cfRule type="expression" dxfId="0" priority="1436">
      <formula>AND($B590&lt;&gt;"",ISBLANK(Y590))</formula>
    </cfRule>
  </conditionalFormatting>
  <conditionalFormatting sqref="Z591:Z592 AB592 AD592 Z597 Z603 Z605:Z606 Z608">
    <cfRule type="expression" dxfId="0" priority="1443">
      <formula>AND($B591&lt;&gt;"",ISBLANK(Z591))</formula>
    </cfRule>
  </conditionalFormatting>
  <conditionalFormatting sqref="AA591 AA597:AA598 AA603 AA605 AA607:AA608 AA610 AA612">
    <cfRule type="expression" dxfId="0" priority="1402">
      <formula>AND($B591&lt;&gt;"",ISBLANK(AA591))</formula>
    </cfRule>
  </conditionalFormatting>
  <conditionalFormatting sqref="AB591 AB597 AB599 AB605 AB608 AB610 AB612">
    <cfRule type="expression" dxfId="0" priority="1401">
      <formula>AND($B591&lt;&gt;"",ISBLANK(AB591))</formula>
    </cfRule>
  </conditionalFormatting>
  <conditionalFormatting sqref="AC591 AC595 AC599 AC605 AC612">
    <cfRule type="expression" dxfId="0" priority="1404">
      <formula>AND($B591&lt;&gt;"",ISBLANK(AC591))</formula>
    </cfRule>
  </conditionalFormatting>
  <conditionalFormatting sqref="AC593 AE593">
    <cfRule type="expression" dxfId="0" priority="1314">
      <formula>AND($B593&lt;&gt;"",ISBLANK(AC593))</formula>
    </cfRule>
  </conditionalFormatting>
  <conditionalFormatting sqref="AD593 AF593">
    <cfRule type="expression" dxfId="0" priority="1315">
      <formula>AND($B593&lt;&gt;"",ISBLANK(AD593))</formula>
    </cfRule>
  </conditionalFormatting>
  <conditionalFormatting sqref="AC594 AE594">
    <cfRule type="expression" dxfId="0" priority="1309">
      <formula>AND($B594&lt;&gt;"",ISBLANK(AC594))</formula>
    </cfRule>
  </conditionalFormatting>
  <conditionalFormatting sqref="AD594 AF594">
    <cfRule type="expression" dxfId="0" priority="1310">
      <formula>AND($B594&lt;&gt;"",ISBLANK(AD594))</formula>
    </cfRule>
  </conditionalFormatting>
  <conditionalFormatting sqref="AD595 AD599 AD605 AD612">
    <cfRule type="expression" dxfId="0" priority="1403">
      <formula>AND($B595&lt;&gt;"",ISBLANK(AD595))</formula>
    </cfRule>
  </conditionalFormatting>
  <conditionalFormatting sqref="AE595 AE599 AE605 AE612">
    <cfRule type="expression" dxfId="0" priority="1405">
      <formula>AND($B595&lt;&gt;"",ISBLANK(AE595))</formula>
    </cfRule>
  </conditionalFormatting>
  <conditionalFormatting sqref="AF595 AF605 AF612">
    <cfRule type="expression" dxfId="0" priority="1406">
      <formula>AND($B595&lt;&gt;"",ISBLANK(AF595))</formula>
    </cfRule>
  </conditionalFormatting>
  <conditionalFormatting sqref="W634:W636 W638:W643 W651:W653 W655 W657:W658 W661">
    <cfRule type="expression" dxfId="0" priority="1219">
      <formula>AND($B634&lt;&gt;"",ISBLANK(W634))</formula>
    </cfRule>
  </conditionalFormatting>
  <conditionalFormatting sqref="X634:X639 X642 X644 X651 X655 X657 X661">
    <cfRule type="expression" dxfId="0" priority="1220">
      <formula>AND($B634&lt;&gt;"",ISBLANK(X634))</formula>
    </cfRule>
  </conditionalFormatting>
  <conditionalFormatting sqref="Z634:Z642 Z651 Z655 Z657 Z661">
    <cfRule type="expression" dxfId="0" priority="1221">
      <formula>AND($B634&lt;&gt;"",ISBLANK(Z634))</formula>
    </cfRule>
  </conditionalFormatting>
  <conditionalFormatting sqref="AE634:AE642 AE651:AE661">
    <cfRule type="expression" dxfId="0" priority="1154">
      <formula>AND($B634&lt;&gt;"",ISBLANK(AE634))</formula>
    </cfRule>
  </conditionalFormatting>
  <conditionalFormatting sqref="I635 I637:I640 I642 I644:I661">
    <cfRule type="expression" dxfId="0" priority="1227">
      <formula>AND($B635&lt;&gt;"",ISBLANK(I635))</formula>
    </cfRule>
  </conditionalFormatting>
  <conditionalFormatting sqref="Y635:Y637 Y642 Y644 Y651 Y655 Y657 Y661">
    <cfRule type="expression" dxfId="0" priority="1218">
      <formula>AND($B635&lt;&gt;"",ISBLANK(Y635))</formula>
    </cfRule>
  </conditionalFormatting>
  <conditionalFormatting sqref="P662:P676 P678:P683">
    <cfRule type="expression" dxfId="0" priority="1131">
      <formula>AND($B662&lt;&gt;"",ISBLANK(P662))</formula>
    </cfRule>
  </conditionalFormatting>
  <conditionalFormatting sqref="S662 S664:S676 S678:S683">
    <cfRule type="expression" dxfId="0" priority="1132">
      <formula>AND($B662&lt;&gt;"",ISBLANK(S662))</formula>
    </cfRule>
  </conditionalFormatting>
  <conditionalFormatting sqref="V662 V664:V666 V668 V671:V676 V679 V681:V683">
    <cfRule type="expression" dxfId="0" priority="1133">
      <formula>AND($B662&lt;&gt;"",ISBLANK(V662))</formula>
    </cfRule>
  </conditionalFormatting>
  <conditionalFormatting sqref="W662 W665:W666 W668 W671:W673 W675:W676 W679 W681:W683">
    <cfRule type="expression" dxfId="0" priority="1134">
      <formula>AND($B662&lt;&gt;"",ISBLANK(W662))</formula>
    </cfRule>
  </conditionalFormatting>
  <conditionalFormatting sqref="AA662:AA666 AA671:AA672 AA675:AA676 AA678 AA681">
    <cfRule type="expression" dxfId="0" priority="1126">
      <formula>AND($B662&lt;&gt;"",ISBLANK(AA662))</formula>
    </cfRule>
  </conditionalFormatting>
  <conditionalFormatting sqref="X665:X667 X671:X673 X675:X676 X678:X679 X681:X683">
    <cfRule type="expression" dxfId="0" priority="1135">
      <formula>AND($B665&lt;&gt;"",ISBLANK(X665))</formula>
    </cfRule>
  </conditionalFormatting>
  <conditionalFormatting sqref="Y666 Y672 Y674:Y676 Y678 Y682:Y683">
    <cfRule type="expression" dxfId="0" priority="1129">
      <formula>AND($B666&lt;&gt;"",ISBLANK(Y666))</formula>
    </cfRule>
  </conditionalFormatting>
  <conditionalFormatting sqref="Z666:Z667 Z672 Z675:Z676 Z678 Z682:Z683">
    <cfRule type="expression" dxfId="0" priority="1136">
      <formula>AND($B666&lt;&gt;"",ISBLANK(Z666))</formula>
    </cfRule>
  </conditionalFormatting>
  <conditionalFormatting sqref="AB666 AB671:AB672 AB675:AB676 AB678 AB681">
    <cfRule type="expression" dxfId="0" priority="1125">
      <formula>AND($B666&lt;&gt;"",ISBLANK(AB666))</formula>
    </cfRule>
  </conditionalFormatting>
  <conditionalFormatting sqref="AC666 AC675:AC676 AC678">
    <cfRule type="expression" dxfId="0" priority="1128">
      <formula>AND($B666&lt;&gt;"",ISBLANK(AC666))</formula>
    </cfRule>
  </conditionalFormatting>
  <conditionalFormatting sqref="AD666 AD676 AD678">
    <cfRule type="expression" dxfId="0" priority="1127">
      <formula>AND($B666&lt;&gt;"",ISBLANK(AD666))</formula>
    </cfRule>
  </conditionalFormatting>
  <conditionalFormatting sqref="O667:O676 O679:O683">
    <cfRule type="expression" dxfId="0" priority="1130">
      <formula>AND($B667&lt;&gt;"",ISBLANK(O667))</formula>
    </cfRule>
  </conditionalFormatting>
  <conditionalFormatting sqref="AE675:AE678 AE683">
    <cfRule type="expression" dxfId="0" priority="1137">
      <formula>AND($B675&lt;&gt;"",ISBLANK(AE675))</formula>
    </cfRule>
  </conditionalFormatting>
  <conditionalFormatting sqref="AF676:AF678 AF683">
    <cfRule type="expression" dxfId="0" priority="986">
      <formula>AND($B676&lt;&gt;"",ISBLANK(AF676))</formula>
    </cfRule>
  </conditionalFormatting>
  <conditionalFormatting sqref="I684:I688 I690:I703">
    <cfRule type="expression" dxfId="0" priority="965">
      <formula>AND($B684&lt;&gt;"",ISBLANK(I684))</formula>
    </cfRule>
  </conditionalFormatting>
  <conditionalFormatting sqref="C716:C717 C719:C725">
    <cfRule type="expression" dxfId="0" priority="887">
      <formula>AND($C716&lt;&gt;"",ISBLANK(C716))</formula>
    </cfRule>
  </conditionalFormatting>
  <conditionalFormatting sqref="D716:D717 D719:D725">
    <cfRule type="expression" dxfId="0" priority="888">
      <formula>AND($C716&lt;&gt;"",ISBLANK(D716))</formula>
    </cfRule>
  </conditionalFormatting>
  <conditionalFormatting sqref="I716 I719">
    <cfRule type="expression" dxfId="0" priority="882">
      <formula>AND($C716&lt;&gt;"",ISBLANK(I716))</formula>
    </cfRule>
  </conditionalFormatting>
  <conditionalFormatting sqref="O716 O719">
    <cfRule type="expression" dxfId="0" priority="855">
      <formula>AND($C716&lt;&gt;"",ISBLANK(O716))</formula>
    </cfRule>
  </conditionalFormatting>
  <conditionalFormatting sqref="P716 P719">
    <cfRule type="expression" dxfId="0" priority="856">
      <formula>AND($C716&lt;&gt;"",ISBLANK(P716))</formula>
    </cfRule>
  </conditionalFormatting>
  <conditionalFormatting sqref="S716 S719">
    <cfRule type="expression" dxfId="0" priority="857">
      <formula>AND($C716&lt;&gt;"",ISBLANK(S716))</formula>
    </cfRule>
  </conditionalFormatting>
  <conditionalFormatting sqref="V716 V719">
    <cfRule type="expression" dxfId="0" priority="858">
      <formula>AND($C716&lt;&gt;"",ISBLANK(V716))</formula>
    </cfRule>
  </conditionalFormatting>
  <conditionalFormatting sqref="W716 W719">
    <cfRule type="expression" dxfId="0" priority="859">
      <formula>AND($C716&lt;&gt;"",ISBLANK(W716))</formula>
    </cfRule>
  </conditionalFormatting>
  <conditionalFormatting sqref="X716 X719">
    <cfRule type="expression" dxfId="0" priority="860">
      <formula>AND($C716&lt;&gt;"",ISBLANK(X716))</formula>
    </cfRule>
  </conditionalFormatting>
  <conditionalFormatting sqref="Y716 Y719">
    <cfRule type="expression" dxfId="0" priority="854">
      <formula>AND($C716&lt;&gt;"",ISBLANK(Y716))</formula>
    </cfRule>
  </conditionalFormatting>
  <conditionalFormatting sqref="Z716 Z719">
    <cfRule type="expression" dxfId="0" priority="861">
      <formula>AND($C716&lt;&gt;"",ISBLANK(Z716))</formula>
    </cfRule>
  </conditionalFormatting>
  <conditionalFormatting sqref="AA716 AA719">
    <cfRule type="expression" dxfId="0" priority="851">
      <formula>AND($C716&lt;&gt;"",ISBLANK(AA716))</formula>
    </cfRule>
  </conditionalFormatting>
  <conditionalFormatting sqref="AC716 AC719">
    <cfRule type="expression" dxfId="0" priority="853">
      <formula>AND($C716&lt;&gt;"",ISBLANK(AC716))</formula>
    </cfRule>
  </conditionalFormatting>
  <conditionalFormatting sqref="AD716 AD719:AD720">
    <cfRule type="expression" dxfId="0" priority="852">
      <formula>AND($C716&lt;&gt;"",ISBLANK(AD716))</formula>
    </cfRule>
  </conditionalFormatting>
  <conditionalFormatting sqref="AE716 AE719:AE720">
    <cfRule type="expression" dxfId="0" priority="862">
      <formula>AND($C716&lt;&gt;"",ISBLANK(AE716))</formula>
    </cfRule>
  </conditionalFormatting>
  <conditionalFormatting sqref="X773:X780 X782">
    <cfRule type="expression" dxfId="0" priority="53">
      <formula>AND($B773&lt;&gt;"",ISBLANK(X773))</formula>
    </cfRule>
  </conditionalFormatting>
  <pageMargins left="0.7" right="0.7" top="0.75" bottom="0.75" header="0.3" footer="0.3"/>
  <pageSetup paperSize="9" scale="3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showGridLines="0" workbookViewId="0">
      <selection activeCell="N19" sqref="N19"/>
    </sheetView>
  </sheetViews>
  <sheetFormatPr defaultColWidth="9" defaultRowHeight="15" outlineLevelCol="5"/>
  <cols>
    <col min="1" max="1" width="14" customWidth="1"/>
    <col min="2" max="2" width="26" customWidth="1"/>
    <col min="3" max="3" width="10" customWidth="1"/>
    <col min="4" max="4" width="8" customWidth="1"/>
    <col min="5" max="5" width="26" customWidth="1"/>
    <col min="6" max="6" width="52" customWidth="1"/>
  </cols>
  <sheetData>
    <row r="1" ht="26" customHeight="1" spans="1:6">
      <c r="A1" s="2" t="s">
        <v>1227</v>
      </c>
      <c r="B1" s="2" t="s">
        <v>1228</v>
      </c>
      <c r="C1" s="2" t="s">
        <v>1229</v>
      </c>
      <c r="D1" s="2" t="s">
        <v>1230</v>
      </c>
      <c r="E1" s="2" t="s">
        <v>1231</v>
      </c>
      <c r="F1" s="2" t="s">
        <v>1232</v>
      </c>
    </row>
    <row r="2" ht="28.5" spans="1:6">
      <c r="A2" s="7" t="s">
        <v>49</v>
      </c>
      <c r="B2" s="8" t="s">
        <v>1</v>
      </c>
      <c r="C2" s="7" t="s">
        <v>1233</v>
      </c>
      <c r="D2" s="7" t="s">
        <v>108</v>
      </c>
      <c r="E2" s="8" t="s">
        <v>1234</v>
      </c>
      <c r="F2" s="8" t="s">
        <v>1234</v>
      </c>
    </row>
    <row r="3" ht="28.5" spans="1:6">
      <c r="A3" s="7" t="s">
        <v>82</v>
      </c>
      <c r="B3" s="8" t="s">
        <v>0</v>
      </c>
      <c r="C3" s="7" t="s">
        <v>1233</v>
      </c>
      <c r="D3" s="7" t="s">
        <v>52</v>
      </c>
      <c r="E3" s="8" t="s">
        <v>1234</v>
      </c>
      <c r="F3" s="8" t="s">
        <v>1234</v>
      </c>
    </row>
    <row r="4" ht="28.5" spans="1:6">
      <c r="A4" s="7" t="s">
        <v>64</v>
      </c>
      <c r="B4" s="8" t="s">
        <v>4</v>
      </c>
      <c r="C4" s="7" t="s">
        <v>1233</v>
      </c>
      <c r="D4" s="7" t="s">
        <v>52</v>
      </c>
      <c r="E4" s="8" t="s">
        <v>1234</v>
      </c>
      <c r="F4" s="8" t="s">
        <v>1234</v>
      </c>
    </row>
    <row r="5" ht="28.5" spans="1:6">
      <c r="A5" s="7" t="s">
        <v>78</v>
      </c>
      <c r="B5" s="8" t="s">
        <v>5</v>
      </c>
      <c r="C5" s="7" t="s">
        <v>1233</v>
      </c>
      <c r="D5" s="7" t="s">
        <v>108</v>
      </c>
      <c r="E5" s="8" t="s">
        <v>1235</v>
      </c>
      <c r="F5" s="8" t="s">
        <v>1236</v>
      </c>
    </row>
    <row r="6" spans="1:6">
      <c r="A6" s="7" t="s">
        <v>56</v>
      </c>
      <c r="B6" s="8" t="s">
        <v>6</v>
      </c>
      <c r="C6" s="7" t="s">
        <v>1237</v>
      </c>
      <c r="D6" s="7" t="s">
        <v>108</v>
      </c>
      <c r="E6" s="8" t="s">
        <v>1234</v>
      </c>
      <c r="F6" s="8" t="s">
        <v>1234</v>
      </c>
    </row>
    <row r="7" spans="1:6">
      <c r="A7" s="7" t="s">
        <v>1238</v>
      </c>
      <c r="B7" s="8" t="s">
        <v>7</v>
      </c>
      <c r="C7" s="7" t="s">
        <v>1237</v>
      </c>
      <c r="D7" s="7" t="s">
        <v>108</v>
      </c>
      <c r="E7" s="8" t="s">
        <v>1234</v>
      </c>
      <c r="F7" s="8" t="s">
        <v>1234</v>
      </c>
    </row>
    <row r="8" spans="1:6">
      <c r="A8" s="7" t="s">
        <v>1239</v>
      </c>
      <c r="B8" s="8" t="s">
        <v>8</v>
      </c>
      <c r="C8" s="7" t="s">
        <v>1237</v>
      </c>
      <c r="D8" s="7" t="s">
        <v>108</v>
      </c>
      <c r="E8" s="8" t="s">
        <v>1234</v>
      </c>
      <c r="F8" s="8" t="s">
        <v>1234</v>
      </c>
    </row>
    <row r="9" spans="1:6">
      <c r="A9" s="7" t="s">
        <v>1240</v>
      </c>
      <c r="B9" s="8" t="s">
        <v>9</v>
      </c>
      <c r="C9" s="7" t="s">
        <v>1241</v>
      </c>
      <c r="D9" s="7" t="s">
        <v>52</v>
      </c>
      <c r="E9" s="8" t="s">
        <v>1242</v>
      </c>
      <c r="F9" s="8" t="s">
        <v>1243</v>
      </c>
    </row>
    <row r="10" ht="28.5" spans="1:6">
      <c r="A10" s="7" t="s">
        <v>1244</v>
      </c>
      <c r="B10" s="8" t="s">
        <v>10</v>
      </c>
      <c r="C10" s="7" t="s">
        <v>1233</v>
      </c>
      <c r="D10" s="7" t="s">
        <v>108</v>
      </c>
      <c r="E10" s="8" t="s">
        <v>1245</v>
      </c>
      <c r="F10" s="8" t="s">
        <v>1234</v>
      </c>
    </row>
    <row r="11" ht="45" spans="1:6">
      <c r="A11" s="7" t="s">
        <v>1246</v>
      </c>
      <c r="B11" s="8" t="s">
        <v>11</v>
      </c>
      <c r="C11" s="7" t="s">
        <v>1233</v>
      </c>
      <c r="D11" s="7" t="s">
        <v>108</v>
      </c>
      <c r="E11" s="8" t="s">
        <v>1247</v>
      </c>
      <c r="F11" s="8" t="s">
        <v>1248</v>
      </c>
    </row>
    <row r="12" ht="28.5" spans="1:6">
      <c r="A12" s="7" t="s">
        <v>1249</v>
      </c>
      <c r="B12" s="8" t="s">
        <v>12</v>
      </c>
      <c r="C12" s="7" t="s">
        <v>1233</v>
      </c>
      <c r="D12" s="7" t="s">
        <v>52</v>
      </c>
      <c r="E12" s="8" t="s">
        <v>1250</v>
      </c>
      <c r="F12" s="8" t="s">
        <v>1234</v>
      </c>
    </row>
    <row r="13" ht="28.5" spans="1:6">
      <c r="A13" s="7" t="s">
        <v>1251</v>
      </c>
      <c r="B13" s="8" t="s">
        <v>13</v>
      </c>
      <c r="C13" s="7" t="s">
        <v>1233</v>
      </c>
      <c r="D13" s="7" t="s">
        <v>108</v>
      </c>
      <c r="E13" s="8" t="s">
        <v>1252</v>
      </c>
      <c r="F13" s="8" t="s">
        <v>1234</v>
      </c>
    </row>
    <row r="14" ht="28.5" spans="1:6">
      <c r="A14" s="7" t="s">
        <v>1253</v>
      </c>
      <c r="B14" s="8" t="s">
        <v>14</v>
      </c>
      <c r="C14" s="7" t="s">
        <v>1233</v>
      </c>
      <c r="D14" s="7" t="s">
        <v>108</v>
      </c>
      <c r="E14" s="8" t="s">
        <v>1254</v>
      </c>
      <c r="F14" s="8" t="s">
        <v>1248</v>
      </c>
    </row>
    <row r="15" spans="1:6">
      <c r="A15" s="7" t="s">
        <v>1255</v>
      </c>
      <c r="B15" s="8" t="s">
        <v>2</v>
      </c>
      <c r="C15" s="7" t="s">
        <v>1241</v>
      </c>
      <c r="D15" s="7" t="s">
        <v>108</v>
      </c>
      <c r="E15" s="8" t="s">
        <v>1234</v>
      </c>
      <c r="F15" s="8" t="s">
        <v>1234</v>
      </c>
    </row>
    <row r="16" ht="28.5" spans="1:6">
      <c r="A16" s="7" t="s">
        <v>1256</v>
      </c>
      <c r="B16" s="8" t="s">
        <v>3</v>
      </c>
      <c r="C16" s="7" t="s">
        <v>1233</v>
      </c>
      <c r="D16" s="7" t="s">
        <v>108</v>
      </c>
      <c r="E16" s="8" t="s">
        <v>1257</v>
      </c>
      <c r="F16" s="8" t="s">
        <v>1234</v>
      </c>
    </row>
    <row r="17" spans="1:6">
      <c r="A17" s="7" t="s">
        <v>1258</v>
      </c>
      <c r="B17" s="8" t="s">
        <v>15</v>
      </c>
      <c r="C17" s="7" t="s">
        <v>1241</v>
      </c>
      <c r="D17" s="7" t="s">
        <v>108</v>
      </c>
      <c r="E17" s="8" t="s">
        <v>1234</v>
      </c>
      <c r="F17" s="8" t="s">
        <v>1234</v>
      </c>
    </row>
    <row r="18" spans="1:6">
      <c r="A18" s="7" t="s">
        <v>1259</v>
      </c>
      <c r="B18" s="8" t="s">
        <v>16</v>
      </c>
      <c r="C18" s="7" t="s">
        <v>1241</v>
      </c>
      <c r="D18" s="7" t="s">
        <v>52</v>
      </c>
      <c r="E18" s="8" t="s">
        <v>1234</v>
      </c>
      <c r="F18" s="8" t="s">
        <v>1234</v>
      </c>
    </row>
    <row r="19" spans="1:6">
      <c r="A19" s="7" t="s">
        <v>1260</v>
      </c>
      <c r="B19" s="8" t="s">
        <v>17</v>
      </c>
      <c r="C19" s="7" t="s">
        <v>1241</v>
      </c>
      <c r="D19" s="7" t="s">
        <v>52</v>
      </c>
      <c r="E19" s="8" t="s">
        <v>1242</v>
      </c>
      <c r="F19" s="8" t="s">
        <v>1243</v>
      </c>
    </row>
    <row r="20" ht="28.5" spans="1:6">
      <c r="A20" s="7" t="s">
        <v>1261</v>
      </c>
      <c r="B20" s="8" t="s">
        <v>18</v>
      </c>
      <c r="C20" s="7" t="s">
        <v>1233</v>
      </c>
      <c r="D20" s="7" t="s">
        <v>108</v>
      </c>
      <c r="E20" s="8" t="s">
        <v>1262</v>
      </c>
      <c r="F20" s="8" t="s">
        <v>1248</v>
      </c>
    </row>
    <row r="21" ht="28.5" spans="1:6">
      <c r="A21" s="7" t="s">
        <v>1263</v>
      </c>
      <c r="B21" s="8" t="s">
        <v>19</v>
      </c>
      <c r="C21" s="7" t="s">
        <v>1233</v>
      </c>
      <c r="D21" s="7" t="s">
        <v>52</v>
      </c>
      <c r="E21" s="8" t="s">
        <v>1264</v>
      </c>
      <c r="F21" s="8" t="s">
        <v>1248</v>
      </c>
    </row>
    <row r="22" ht="28.5" spans="1:6">
      <c r="A22" s="7" t="s">
        <v>1265</v>
      </c>
      <c r="B22" s="8" t="s">
        <v>20</v>
      </c>
      <c r="C22" s="7" t="s">
        <v>1233</v>
      </c>
      <c r="D22" s="7" t="s">
        <v>52</v>
      </c>
      <c r="E22" s="8" t="s">
        <v>1266</v>
      </c>
      <c r="F22" s="8" t="s">
        <v>1248</v>
      </c>
    </row>
    <row r="23" ht="28.5" spans="1:6">
      <c r="A23" s="7" t="s">
        <v>1267</v>
      </c>
      <c r="B23" s="8" t="s">
        <v>21</v>
      </c>
      <c r="C23" s="7" t="s">
        <v>1233</v>
      </c>
      <c r="D23" s="7" t="s">
        <v>108</v>
      </c>
      <c r="E23" s="8" t="s">
        <v>1254</v>
      </c>
      <c r="F23" s="8" t="s">
        <v>1236</v>
      </c>
    </row>
    <row r="24" ht="28.5" spans="1:6">
      <c r="A24" s="7" t="s">
        <v>1268</v>
      </c>
      <c r="B24" s="8" t="s">
        <v>1269</v>
      </c>
      <c r="C24" s="7" t="s">
        <v>1233</v>
      </c>
      <c r="D24" s="7" t="s">
        <v>108</v>
      </c>
      <c r="E24" s="8" t="s">
        <v>1254</v>
      </c>
      <c r="F24" s="8" t="s">
        <v>1236</v>
      </c>
    </row>
    <row r="25" ht="28.5" spans="1:6">
      <c r="A25" s="7" t="s">
        <v>1270</v>
      </c>
      <c r="B25" s="8" t="s">
        <v>1271</v>
      </c>
      <c r="C25" s="7" t="s">
        <v>1233</v>
      </c>
      <c r="D25" s="7" t="s">
        <v>108</v>
      </c>
      <c r="E25" s="8" t="s">
        <v>1254</v>
      </c>
      <c r="F25" s="8" t="s">
        <v>1236</v>
      </c>
    </row>
    <row r="26" ht="28.5" spans="1:6">
      <c r="A26" s="7" t="s">
        <v>1272</v>
      </c>
      <c r="B26" s="8" t="s">
        <v>1273</v>
      </c>
      <c r="C26" s="7" t="s">
        <v>1233</v>
      </c>
      <c r="D26" s="7" t="s">
        <v>108</v>
      </c>
      <c r="E26" s="8" t="s">
        <v>1254</v>
      </c>
      <c r="F26" s="8" t="s">
        <v>1236</v>
      </c>
    </row>
    <row r="27" ht="30" spans="1:6">
      <c r="A27" s="7" t="s">
        <v>1274</v>
      </c>
      <c r="B27" s="8" t="s">
        <v>1275</v>
      </c>
      <c r="C27" s="7" t="s">
        <v>1233</v>
      </c>
      <c r="D27" s="7" t="s">
        <v>108</v>
      </c>
      <c r="E27" s="8" t="s">
        <v>1252</v>
      </c>
      <c r="F27" s="8" t="s">
        <v>1236</v>
      </c>
    </row>
    <row r="28" ht="42" spans="1:6">
      <c r="A28" s="7" t="s">
        <v>1276</v>
      </c>
      <c r="B28" s="8" t="s">
        <v>1277</v>
      </c>
      <c r="C28" s="7" t="s">
        <v>1233</v>
      </c>
      <c r="D28" s="7" t="s">
        <v>108</v>
      </c>
      <c r="E28" s="8" t="s">
        <v>1278</v>
      </c>
      <c r="F28" s="8" t="s">
        <v>1236</v>
      </c>
    </row>
    <row r="29" ht="42" spans="1:6">
      <c r="A29" s="7" t="s">
        <v>1279</v>
      </c>
      <c r="B29" s="8" t="s">
        <v>32</v>
      </c>
      <c r="C29" s="7" t="s">
        <v>1233</v>
      </c>
      <c r="D29" s="7" t="s">
        <v>108</v>
      </c>
      <c r="E29" s="8" t="s">
        <v>1280</v>
      </c>
      <c r="F29" s="8" t="s">
        <v>1236</v>
      </c>
    </row>
    <row r="30" ht="28.5" spans="1:6">
      <c r="A30" s="7" t="s">
        <v>1281</v>
      </c>
      <c r="B30" s="8" t="s">
        <v>33</v>
      </c>
      <c r="C30" s="7" t="s">
        <v>1233</v>
      </c>
      <c r="D30" s="7" t="s">
        <v>52</v>
      </c>
      <c r="E30" s="8" t="s">
        <v>1264</v>
      </c>
      <c r="F30" s="8" t="s">
        <v>1234</v>
      </c>
    </row>
    <row r="31" ht="28.5" spans="1:6">
      <c r="A31" s="7" t="s">
        <v>1282</v>
      </c>
      <c r="B31" s="8" t="s">
        <v>34</v>
      </c>
      <c r="C31" s="7" t="s">
        <v>1233</v>
      </c>
      <c r="D31" s="7" t="s">
        <v>52</v>
      </c>
      <c r="E31" s="8" t="s">
        <v>1252</v>
      </c>
      <c r="F31" s="8" t="s">
        <v>1234</v>
      </c>
    </row>
    <row r="32" ht="28.5" spans="1:6">
      <c r="A32" s="7" t="s">
        <v>1283</v>
      </c>
      <c r="B32" s="8" t="s">
        <v>35</v>
      </c>
      <c r="C32" s="7" t="s">
        <v>1233</v>
      </c>
      <c r="D32" s="7" t="s">
        <v>52</v>
      </c>
      <c r="E32" s="8" t="s">
        <v>1252</v>
      </c>
      <c r="F32" s="8" t="s">
        <v>1284</v>
      </c>
    </row>
    <row r="33" ht="28.5" spans="1:6">
      <c r="A33" s="7" t="s">
        <v>1285</v>
      </c>
      <c r="B33" s="8" t="s">
        <v>36</v>
      </c>
      <c r="C33" s="7" t="s">
        <v>1233</v>
      </c>
      <c r="D33" s="7" t="s">
        <v>52</v>
      </c>
      <c r="E33" s="8" t="s">
        <v>1252</v>
      </c>
      <c r="F33" s="8" t="s">
        <v>1284</v>
      </c>
    </row>
    <row r="34" ht="28.5" spans="1:6">
      <c r="A34" s="7" t="s">
        <v>1286</v>
      </c>
      <c r="B34" s="8" t="s">
        <v>37</v>
      </c>
      <c r="C34" s="7" t="s">
        <v>1233</v>
      </c>
      <c r="D34" s="7" t="s">
        <v>52</v>
      </c>
      <c r="E34" s="8" t="s">
        <v>1252</v>
      </c>
      <c r="F34" s="8" t="s">
        <v>1284</v>
      </c>
    </row>
    <row r="35" ht="28.5" spans="1:6">
      <c r="A35" s="7" t="s">
        <v>1287</v>
      </c>
      <c r="B35" s="8" t="s">
        <v>38</v>
      </c>
      <c r="C35" s="7" t="s">
        <v>1233</v>
      </c>
      <c r="D35" s="7" t="s">
        <v>52</v>
      </c>
      <c r="E35" s="8" t="s">
        <v>1234</v>
      </c>
      <c r="F35" s="8" t="s">
        <v>1234</v>
      </c>
    </row>
    <row r="36" spans="1:6">
      <c r="A36" s="7" t="s">
        <v>1288</v>
      </c>
      <c r="B36" s="8" t="s">
        <v>39</v>
      </c>
      <c r="C36" s="7" t="s">
        <v>1241</v>
      </c>
      <c r="D36" s="7" t="s">
        <v>52</v>
      </c>
      <c r="E36" s="8" t="s">
        <v>1234</v>
      </c>
      <c r="F36" s="8" t="s">
        <v>1234</v>
      </c>
    </row>
    <row r="37" ht="28.5" spans="1:6">
      <c r="A37" s="7" t="s">
        <v>1289</v>
      </c>
      <c r="B37" s="8" t="s">
        <v>40</v>
      </c>
      <c r="C37" s="7" t="s">
        <v>1233</v>
      </c>
      <c r="D37" s="7" t="s">
        <v>52</v>
      </c>
      <c r="E37" s="8" t="s">
        <v>1290</v>
      </c>
      <c r="F37" s="8" t="s">
        <v>1234</v>
      </c>
    </row>
    <row r="38" spans="1:6">
      <c r="A38" s="7" t="s">
        <v>1291</v>
      </c>
      <c r="B38" s="8" t="s">
        <v>41</v>
      </c>
      <c r="C38" s="7" t="s">
        <v>1241</v>
      </c>
      <c r="D38" s="7" t="s">
        <v>52</v>
      </c>
      <c r="E38" s="8" t="s">
        <v>1234</v>
      </c>
      <c r="F38" s="8" t="s">
        <v>1234</v>
      </c>
    </row>
    <row r="39" ht="28.5" spans="1:6">
      <c r="A39" s="7" t="s">
        <v>1292</v>
      </c>
      <c r="B39" s="8" t="s">
        <v>42</v>
      </c>
      <c r="C39" s="7" t="s">
        <v>1233</v>
      </c>
      <c r="D39" s="7" t="s">
        <v>52</v>
      </c>
      <c r="E39" s="8" t="s">
        <v>1293</v>
      </c>
      <c r="F39" s="8" t="s">
        <v>1234</v>
      </c>
    </row>
    <row r="40" spans="1:6">
      <c r="A40" s="7" t="s">
        <v>1294</v>
      </c>
      <c r="B40" s="8" t="s">
        <v>43</v>
      </c>
      <c r="C40" s="7" t="s">
        <v>1241</v>
      </c>
      <c r="D40" s="7" t="s">
        <v>52</v>
      </c>
      <c r="E40" s="8" t="s">
        <v>1234</v>
      </c>
      <c r="F40" s="8" t="s">
        <v>1234</v>
      </c>
    </row>
    <row r="41" spans="1:6">
      <c r="A41" s="7" t="s">
        <v>1295</v>
      </c>
      <c r="B41" s="8" t="s">
        <v>44</v>
      </c>
      <c r="C41" s="7" t="s">
        <v>1241</v>
      </c>
      <c r="D41" s="7" t="s">
        <v>52</v>
      </c>
      <c r="E41" s="8" t="s">
        <v>1234</v>
      </c>
      <c r="F41" s="8" t="s">
        <v>1234</v>
      </c>
    </row>
    <row r="42" spans="1:6">
      <c r="A42" s="7" t="s">
        <v>1296</v>
      </c>
      <c r="B42" s="8" t="s">
        <v>45</v>
      </c>
      <c r="C42" s="7" t="s">
        <v>1241</v>
      </c>
      <c r="D42" s="7" t="s">
        <v>52</v>
      </c>
      <c r="E42" s="8" t="s">
        <v>1234</v>
      </c>
      <c r="F42" s="8" t="s">
        <v>1234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"/>
  <sheetViews>
    <sheetView showGridLines="0" workbookViewId="0">
      <selection activeCell="A1" sqref="A1"/>
    </sheetView>
  </sheetViews>
  <sheetFormatPr defaultColWidth="9" defaultRowHeight="15"/>
  <cols>
    <col min="1" max="1" width="18" customWidth="1"/>
    <col min="2" max="18" width="20" customWidth="1"/>
  </cols>
  <sheetData>
    <row r="1" ht="30" customHeight="1" spans="1:18">
      <c r="A1" s="2" t="s">
        <v>5</v>
      </c>
      <c r="B1" s="2" t="s">
        <v>1297</v>
      </c>
      <c r="C1" s="2" t="s">
        <v>1298</v>
      </c>
      <c r="D1" s="2" t="s">
        <v>1299</v>
      </c>
      <c r="E1" s="2" t="s">
        <v>1300</v>
      </c>
      <c r="F1" s="2" t="s">
        <v>1301</v>
      </c>
      <c r="G1" s="2" t="s">
        <v>1302</v>
      </c>
      <c r="H1" s="2" t="s">
        <v>1303</v>
      </c>
      <c r="I1" s="2" t="s">
        <v>1304</v>
      </c>
      <c r="J1" s="2" t="s">
        <v>1305</v>
      </c>
      <c r="K1" s="2" t="s">
        <v>1306</v>
      </c>
      <c r="L1" s="2" t="s">
        <v>1307</v>
      </c>
      <c r="M1" s="2" t="s">
        <v>1308</v>
      </c>
      <c r="N1" s="2" t="s">
        <v>1309</v>
      </c>
      <c r="O1" s="2" t="s">
        <v>1310</v>
      </c>
      <c r="P1" s="2" t="s">
        <v>1311</v>
      </c>
      <c r="Q1" s="2" t="s">
        <v>1312</v>
      </c>
      <c r="R1" s="2" t="s">
        <v>1313</v>
      </c>
    </row>
    <row r="2" spans="1:18">
      <c r="A2" s="3" t="s">
        <v>1314</v>
      </c>
    </row>
    <row r="3" spans="1:18">
      <c r="A3" s="4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5"/>
      <c r="N3" s="5"/>
      <c r="O3" s="5"/>
      <c r="P3" s="5"/>
      <c r="Q3" s="5"/>
      <c r="R3" s="5"/>
    </row>
    <row r="4" spans="1:18">
      <c r="A4" s="4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5"/>
      <c r="N4" s="5"/>
      <c r="O4" s="5"/>
      <c r="P4" s="5"/>
      <c r="Q4" s="5"/>
      <c r="R4" s="5"/>
    </row>
    <row r="5" spans="1:18">
      <c r="A5" s="4"/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5"/>
      <c r="N5" s="5"/>
      <c r="O5" s="5"/>
      <c r="P5" s="5"/>
      <c r="Q5" s="5"/>
      <c r="R5" s="5"/>
    </row>
    <row r="6" spans="1:18">
      <c r="A6" s="4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5"/>
      <c r="O6" s="5"/>
      <c r="P6" s="5"/>
      <c r="Q6" s="5"/>
      <c r="R6" s="5"/>
    </row>
    <row r="7" spans="1:18">
      <c r="A7" s="4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5"/>
      <c r="N7" s="5"/>
      <c r="O7" s="5"/>
      <c r="P7" s="5"/>
      <c r="Q7" s="5"/>
      <c r="R7" s="5"/>
    </row>
    <row r="8" spans="1:18">
      <c r="A8" s="4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5"/>
      <c r="N8" s="5"/>
      <c r="O8" s="5"/>
      <c r="P8" s="5"/>
      <c r="Q8" s="5"/>
      <c r="R8" s="5"/>
    </row>
    <row r="9" spans="1:18">
      <c r="A9" s="4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5"/>
      <c r="N9" s="5"/>
      <c r="O9" s="5"/>
      <c r="P9" s="5"/>
      <c r="Q9" s="5"/>
      <c r="R9" s="5"/>
    </row>
    <row r="10" spans="1:18">
      <c r="A10" s="4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5"/>
      <c r="N10" s="5"/>
      <c r="O10" s="5"/>
      <c r="P10" s="5"/>
      <c r="Q10" s="5"/>
      <c r="R10" s="5"/>
    </row>
    <row r="11" spans="1:18">
      <c r="A11" s="4"/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5"/>
      <c r="N11" s="5"/>
      <c r="O11" s="5"/>
      <c r="P11" s="5"/>
      <c r="Q11" s="5"/>
      <c r="R11" s="5"/>
    </row>
    <row r="12" spans="1:18">
      <c r="A12" s="4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5"/>
      <c r="N12" s="5"/>
      <c r="O12" s="5"/>
      <c r="P12" s="5"/>
      <c r="Q12" s="5"/>
      <c r="R12" s="5"/>
    </row>
    <row r="13" spans="1:18">
      <c r="A13" s="4"/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5"/>
      <c r="N13" s="5"/>
      <c r="O13" s="5"/>
      <c r="P13" s="5"/>
      <c r="Q13" s="5"/>
      <c r="R13" s="5"/>
    </row>
    <row r="14" spans="1:18">
      <c r="A14" s="4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5"/>
      <c r="N14" s="5"/>
      <c r="O14" s="5"/>
      <c r="P14" s="5"/>
      <c r="Q14" s="5"/>
      <c r="R14" s="5"/>
    </row>
  </sheetData>
  <sheetProtection formatCells="0" formatColumns="0" formatRows="0" insertRows="0" insertColumns="0" insertHyperlinks="0" deleteColumns="0" deleteRows="0" sort="0" autoFilter="0" pivotTables="0"/>
  <mergeCells count="1">
    <mergeCell ref="A2:R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showGridLines="0" workbookViewId="0">
      <selection activeCell="A1" sqref="A1"/>
    </sheetView>
  </sheetViews>
  <sheetFormatPr defaultColWidth="9" defaultRowHeight="15" outlineLevelRow="5"/>
  <cols>
    <col min="1" max="1" width="112" customWidth="1"/>
  </cols>
  <sheetData>
    <row r="1" spans="1:1">
      <c r="A1" s="1" t="s">
        <v>1315</v>
      </c>
    </row>
    <row r="2" ht="30" spans="1:1">
      <c r="A2" s="1" t="s">
        <v>1316</v>
      </c>
    </row>
    <row r="3" spans="1:1">
      <c r="A3" s="1" t="s">
        <v>1317</v>
      </c>
    </row>
    <row r="4" ht="28.5" spans="1:1">
      <c r="A4" s="1" t="s">
        <v>1318</v>
      </c>
    </row>
    <row r="5" spans="1:1">
      <c r="A5" s="1" t="s">
        <v>1319</v>
      </c>
    </row>
    <row r="6" spans="1:1">
      <c r="A6" s="1" t="s">
        <v>1320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WWO_wpscloud_20260304171156-29335b6cb8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逐例数据录入</vt:lpstr>
      <vt:lpstr>变量字典</vt:lpstr>
      <vt:lpstr>摘要自动汇总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付亮</cp:lastModifiedBy>
  <dcterms:created xsi:type="dcterms:W3CDTF">2026-03-07T07:13:00Z</dcterms:created>
  <dcterms:modified xsi:type="dcterms:W3CDTF">2026-03-31T00:41:52Z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21C0DA0D88C44C728C21BFBF985DAC75_13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